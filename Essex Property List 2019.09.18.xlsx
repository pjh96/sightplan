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/>
  <mc:AlternateContent xmlns:mc="http://schemas.openxmlformats.org/markup-compatibility/2006">
    <mc:Choice Requires="x15">
      <x15ac:absPath xmlns:x15ac="http://schemas.microsoft.com/office/spreadsheetml/2010/11/ac" url="C:\Users\phummelt\OneDrive - Essex Property Trust, Inc\Local_R_Material\Data\SightPlan_Data\"/>
    </mc:Choice>
  </mc:AlternateContent>
  <xr:revisionPtr revIDLastSave="82" documentId="13_ncr:1_{939D3EB4-09A7-4192-A385-D85208785245}" xr6:coauthVersionLast="36" xr6:coauthVersionMax="45" xr10:uidLastSave="{BED8E13E-FDF1-48DA-9F7F-AD92FD8EBA46}"/>
  <bookViews>
    <workbookView xWindow="-120" yWindow="-120" windowWidth="29040" windowHeight="15840" xr2:uid="{00000000-000D-0000-FFFF-FFFF00000000}"/>
  </bookViews>
  <sheets>
    <sheet name="CurrentPortfolio" sheetId="11" r:id="rId1"/>
    <sheet name="DisposedPortfolio" sheetId="9" r:id="rId2"/>
    <sheet name="Formerly Known As" sheetId="7" r:id="rId3"/>
    <sheet name="SameStore" sheetId="5" r:id="rId4"/>
    <sheet name="NAVs" sheetId="8" r:id="rId5"/>
    <sheet name="RPMAssignments" sheetId="6" r:id="rId6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Q216" i="11" l="1"/>
  <c r="AQ217" i="11"/>
  <c r="AQ215" i="11"/>
  <c r="AQ298" i="11" l="1"/>
  <c r="AQ240" i="11" l="1"/>
  <c r="AQ256" i="11" l="1"/>
  <c r="AQ255" i="11" l="1"/>
  <c r="AQ254" i="11" l="1"/>
  <c r="AQ120" i="11" l="1"/>
  <c r="AQ234" i="11" l="1"/>
  <c r="AQ202" i="11" l="1"/>
  <c r="AQ214" i="11" l="1"/>
  <c r="AQ212" i="11" l="1"/>
  <c r="AQ221" i="11"/>
  <c r="AQ166" i="11" l="1"/>
  <c r="AE280" i="11" l="1"/>
  <c r="AE281" i="11"/>
  <c r="AE282" i="11"/>
  <c r="AE250" i="11"/>
  <c r="AE199" i="11"/>
  <c r="AQ106" i="11" l="1"/>
  <c r="AQ111" i="11"/>
  <c r="AQ159" i="11"/>
  <c r="AQ226" i="11"/>
  <c r="AQ19" i="11"/>
  <c r="AQ5" i="11"/>
  <c r="AQ236" i="11"/>
  <c r="AQ7" i="11"/>
  <c r="AQ76" i="11"/>
  <c r="AQ9" i="11"/>
  <c r="AQ252" i="11"/>
  <c r="AQ12" i="11"/>
  <c r="AQ237" i="11"/>
  <c r="AQ16" i="11"/>
  <c r="AQ195" i="11"/>
  <c r="AQ18" i="11"/>
  <c r="AQ22" i="11"/>
  <c r="AQ23" i="11"/>
  <c r="AQ227" i="11"/>
  <c r="AQ33" i="11"/>
  <c r="AQ300" i="11"/>
  <c r="AQ35" i="11"/>
  <c r="AQ322" i="11"/>
  <c r="AQ38" i="11"/>
  <c r="AQ319" i="11"/>
  <c r="AQ44" i="11"/>
  <c r="AQ314" i="11"/>
  <c r="AQ47" i="11"/>
  <c r="AQ173" i="11"/>
  <c r="AQ69" i="11"/>
  <c r="AQ136" i="11"/>
  <c r="AQ85" i="11"/>
  <c r="AQ11" i="11"/>
  <c r="AQ87" i="11"/>
  <c r="AQ211" i="11"/>
  <c r="AQ93" i="11"/>
  <c r="AQ8" i="11"/>
  <c r="AQ100" i="11"/>
  <c r="AQ194" i="11"/>
  <c r="AQ110" i="11"/>
  <c r="AQ260" i="11"/>
  <c r="AQ122" i="11"/>
  <c r="AQ125" i="11"/>
  <c r="AQ126" i="11"/>
  <c r="AQ134" i="11"/>
  <c r="AQ129" i="11"/>
  <c r="AQ230" i="11"/>
  <c r="AQ138" i="11"/>
  <c r="AQ51" i="11"/>
  <c r="AQ142" i="11"/>
  <c r="AQ131" i="11"/>
  <c r="AQ145" i="11"/>
  <c r="AQ165" i="11"/>
  <c r="AQ147" i="11"/>
  <c r="AQ148" i="11"/>
  <c r="AQ149" i="11"/>
  <c r="AQ257" i="11"/>
  <c r="AQ198" i="11"/>
  <c r="AQ152" i="11"/>
  <c r="AQ130" i="11"/>
  <c r="AQ154" i="11"/>
  <c r="AQ13" i="11"/>
  <c r="AQ162" i="11"/>
  <c r="AQ193" i="11"/>
  <c r="AQ171" i="11"/>
  <c r="AQ303" i="11"/>
  <c r="AQ178" i="11"/>
  <c r="AQ65" i="11"/>
  <c r="AQ325" i="11"/>
  <c r="AQ188" i="11"/>
  <c r="AQ139" i="11"/>
  <c r="AQ207" i="11"/>
  <c r="AQ179" i="11"/>
  <c r="AQ213" i="11"/>
  <c r="AQ187" i="11"/>
  <c r="AQ219" i="11"/>
  <c r="AQ313" i="11"/>
  <c r="AQ231" i="11"/>
  <c r="AQ140" i="11"/>
  <c r="AQ238" i="11"/>
  <c r="AQ273" i="11"/>
  <c r="AQ244" i="11"/>
  <c r="AQ271" i="11"/>
  <c r="AQ246" i="11"/>
  <c r="AQ64" i="11"/>
  <c r="AQ253" i="11"/>
  <c r="AQ54" i="11"/>
  <c r="AQ55" i="11"/>
  <c r="AQ177" i="11"/>
  <c r="AQ275" i="11"/>
  <c r="AQ305" i="11"/>
  <c r="AQ277" i="11"/>
  <c r="AQ278" i="11"/>
  <c r="AQ250" i="11"/>
  <c r="AQ280" i="11"/>
  <c r="AQ281" i="11"/>
  <c r="AQ321" i="11"/>
  <c r="AQ290" i="11"/>
  <c r="AQ132" i="11"/>
  <c r="AQ302" i="11"/>
  <c r="AQ209" i="11"/>
  <c r="AQ311" i="11"/>
  <c r="AQ268" i="11"/>
  <c r="AQ318" i="11"/>
  <c r="AQ123" i="11"/>
  <c r="AQ320" i="11"/>
  <c r="AQ81" i="11"/>
  <c r="AQ266" i="11"/>
  <c r="AQ265" i="11"/>
  <c r="AQ137" i="11"/>
  <c r="AQ293" i="11"/>
  <c r="AQ34" i="11"/>
  <c r="AQ164" i="11"/>
  <c r="AQ222" i="11"/>
  <c r="AQ269" i="11"/>
  <c r="AQ180" i="11"/>
  <c r="AQ176" i="11"/>
  <c r="AQ232" i="11"/>
  <c r="AQ323" i="11"/>
  <c r="AQ135" i="11"/>
  <c r="AQ21" i="11"/>
  <c r="AQ146" i="11"/>
  <c r="AQ143" i="11"/>
  <c r="AQ103" i="11"/>
  <c r="AQ10" i="11"/>
  <c r="AQ30" i="11"/>
  <c r="AQ49" i="11"/>
  <c r="AQ133" i="11"/>
  <c r="AQ25" i="11"/>
  <c r="AQ163" i="11"/>
  <c r="AQ77" i="11"/>
  <c r="AQ291" i="11"/>
  <c r="AQ27" i="11"/>
  <c r="AQ261" i="11"/>
  <c r="AQ104" i="11"/>
  <c r="AQ184" i="11"/>
  <c r="AQ247" i="11"/>
  <c r="AQ204" i="11"/>
  <c r="AQ29" i="11"/>
  <c r="AQ28" i="11"/>
  <c r="AQ242" i="11"/>
  <c r="AQ24" i="11"/>
  <c r="AQ144" i="11"/>
  <c r="AQ26" i="11"/>
  <c r="AQ37" i="11"/>
  <c r="AQ286" i="11"/>
  <c r="AQ167" i="11"/>
  <c r="AQ169" i="11"/>
  <c r="AQ36" i="11"/>
  <c r="AQ151" i="11"/>
  <c r="AQ248" i="11"/>
  <c r="AQ287" i="11"/>
  <c r="AQ288" i="11"/>
  <c r="AQ292" i="11"/>
  <c r="AQ32" i="11"/>
  <c r="AQ267" i="11"/>
  <c r="AQ3" i="11"/>
  <c r="AQ98" i="11"/>
  <c r="AQ88" i="11"/>
  <c r="AQ89" i="11"/>
  <c r="AQ208" i="11"/>
  <c r="AQ128" i="11"/>
  <c r="AQ20" i="11"/>
  <c r="AQ191" i="11"/>
  <c r="AQ4" i="11"/>
  <c r="AQ276" i="11"/>
  <c r="AQ40" i="11"/>
  <c r="AQ295" i="11"/>
  <c r="AQ309" i="11"/>
  <c r="AQ115" i="11"/>
  <c r="AQ41" i="11"/>
  <c r="AQ168" i="11"/>
  <c r="AQ15" i="11"/>
  <c r="AQ220" i="11"/>
  <c r="AQ141" i="11"/>
  <c r="AQ262" i="11"/>
  <c r="AQ45" i="11"/>
  <c r="AQ233" i="11"/>
  <c r="AQ189" i="11"/>
  <c r="AQ228" i="11"/>
  <c r="AQ190" i="11"/>
  <c r="AQ153" i="11"/>
  <c r="AQ43" i="11"/>
  <c r="AQ157" i="11"/>
  <c r="AQ46" i="11"/>
  <c r="AQ203" i="11"/>
  <c r="AQ155" i="11"/>
  <c r="AQ48" i="11"/>
  <c r="AQ52" i="11"/>
  <c r="AQ53" i="11"/>
  <c r="AQ294" i="11"/>
  <c r="AQ50" i="11"/>
  <c r="AQ306" i="11"/>
  <c r="AQ127" i="11"/>
  <c r="AQ258" i="11"/>
  <c r="AQ196" i="11"/>
  <c r="AQ60" i="11"/>
  <c r="AQ57" i="11"/>
  <c r="AQ6" i="11"/>
  <c r="AQ62" i="11"/>
  <c r="AQ243" i="11"/>
  <c r="AQ172" i="11"/>
  <c r="AQ170" i="11"/>
  <c r="AQ82" i="11"/>
  <c r="AQ56" i="11"/>
  <c r="AQ58" i="11"/>
  <c r="AQ59" i="11"/>
  <c r="AQ308" i="11"/>
  <c r="AQ297" i="11"/>
  <c r="AQ307" i="11"/>
  <c r="AQ99" i="11"/>
  <c r="AQ78" i="11"/>
  <c r="AQ113" i="11"/>
  <c r="AQ175" i="11"/>
  <c r="AQ68" i="11"/>
  <c r="AQ63" i="11"/>
  <c r="AQ67" i="11"/>
  <c r="AQ251" i="11"/>
  <c r="AQ245" i="11"/>
  <c r="AQ239" i="11"/>
  <c r="AQ241" i="11"/>
  <c r="AQ70" i="11"/>
  <c r="AQ174" i="11"/>
  <c r="AQ229" i="11"/>
  <c r="AQ71" i="11"/>
  <c r="AQ61" i="11"/>
  <c r="AQ79" i="11"/>
  <c r="AQ66" i="11"/>
  <c r="AQ296" i="11"/>
  <c r="AQ299" i="11"/>
  <c r="AQ285" i="11"/>
  <c r="AQ72" i="11"/>
  <c r="AQ84" i="11"/>
  <c r="AQ156" i="11"/>
  <c r="AQ109" i="11"/>
  <c r="AQ304" i="11"/>
  <c r="AQ199" i="11"/>
  <c r="AQ210" i="11"/>
  <c r="AQ101" i="11"/>
  <c r="AQ224" i="11"/>
  <c r="AQ225" i="11"/>
  <c r="AQ223" i="11"/>
  <c r="AQ279" i="11"/>
  <c r="AQ218" i="11"/>
  <c r="AQ192" i="11"/>
  <c r="AQ42" i="11"/>
  <c r="AQ74" i="11"/>
  <c r="AQ284" i="11"/>
  <c r="AQ80" i="11"/>
  <c r="AQ259" i="11"/>
  <c r="AQ310" i="11"/>
  <c r="AQ73" i="11"/>
  <c r="AQ39" i="11"/>
  <c r="AQ75" i="11"/>
  <c r="AQ289" i="11"/>
  <c r="AQ274" i="11"/>
  <c r="AQ316" i="11"/>
  <c r="AQ315" i="11"/>
  <c r="AQ114" i="11"/>
  <c r="AQ324" i="11"/>
  <c r="AQ183" i="11"/>
  <c r="AQ90" i="11"/>
  <c r="AQ14" i="11"/>
  <c r="AQ197" i="11"/>
  <c r="AQ200" i="11"/>
  <c r="AQ283" i="11"/>
  <c r="AQ181" i="11"/>
  <c r="AQ186" i="11"/>
  <c r="AQ150" i="11"/>
  <c r="AQ94" i="11"/>
  <c r="AQ95" i="11"/>
  <c r="AQ83" i="11"/>
  <c r="AQ91" i="11"/>
  <c r="AQ312" i="11"/>
  <c r="AQ17" i="11"/>
  <c r="AQ282" i="11"/>
  <c r="AQ97" i="11"/>
  <c r="AQ96" i="11"/>
  <c r="AQ263" i="11"/>
  <c r="AQ86" i="11"/>
  <c r="AQ92" i="11"/>
  <c r="AQ31" i="11"/>
  <c r="AQ108" i="11"/>
  <c r="AQ264" i="11"/>
  <c r="AQ107" i="11"/>
  <c r="AQ317" i="11"/>
  <c r="AQ160" i="11"/>
  <c r="AQ206" i="11"/>
  <c r="AQ182" i="11"/>
  <c r="AQ158" i="11"/>
  <c r="AQ301" i="11"/>
  <c r="AQ272" i="11"/>
  <c r="AQ249" i="11"/>
  <c r="AQ270" i="11"/>
  <c r="AQ112" i="11"/>
  <c r="AQ205" i="11"/>
  <c r="AQ119" i="11"/>
  <c r="AQ117" i="11"/>
  <c r="AQ118" i="11"/>
  <c r="AQ121" i="11"/>
  <c r="AQ105" i="11"/>
  <c r="AQ201" i="11"/>
  <c r="AQ124" i="11"/>
  <c r="AQ116" i="11"/>
  <c r="AQ185" i="11"/>
  <c r="AQ161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Linda Wu</author>
  </authors>
  <commentList>
    <comment ref="AE10" authorId="0" shapeId="0" xr:uid="{E2A5F9A4-1620-47D8-8093-0E81F9177FFD}">
      <text>
        <r>
          <rPr>
            <b/>
            <sz val="9"/>
            <color indexed="81"/>
            <rFont val="Tahoma"/>
            <family val="2"/>
          </rPr>
          <t>Linda Wu:</t>
        </r>
        <r>
          <rPr>
            <sz val="9"/>
            <color indexed="81"/>
            <rFont val="Tahoma"/>
            <family val="2"/>
          </rPr>
          <t xml:space="preserve">
may have 231 condo units</t>
        </r>
      </text>
    </comment>
    <comment ref="AE103" authorId="0" shapeId="0" xr:uid="{86C155DC-89A9-4A38-A704-357DE3A14B9C}">
      <text>
        <r>
          <rPr>
            <b/>
            <sz val="9"/>
            <color indexed="81"/>
            <rFont val="Tahoma"/>
            <family val="2"/>
          </rPr>
          <t>Linda Wu:</t>
        </r>
        <r>
          <rPr>
            <sz val="9"/>
            <color indexed="81"/>
            <rFont val="Tahoma"/>
            <family val="2"/>
          </rPr>
          <t xml:space="preserve">
may be condo mapped</t>
        </r>
      </text>
    </comment>
    <comment ref="AE164" authorId="0" shapeId="0" xr:uid="{AE09C90A-6405-403E-AE2A-EE4E50C88435}">
      <text>
        <r>
          <rPr>
            <b/>
            <sz val="9"/>
            <color indexed="81"/>
            <rFont val="Tahoma"/>
            <family val="2"/>
          </rPr>
          <t>Linda Wu:</t>
        </r>
        <r>
          <rPr>
            <sz val="9"/>
            <color indexed="81"/>
            <rFont val="Tahoma"/>
            <family val="2"/>
          </rPr>
          <t xml:space="preserve">
may be condo mapped</t>
        </r>
      </text>
    </comment>
    <comment ref="AE186" authorId="0" shapeId="0" xr:uid="{9439FC83-B1CE-4D56-B229-42BEBA79D36B}">
      <text>
        <r>
          <rPr>
            <b/>
            <sz val="9"/>
            <color indexed="81"/>
            <rFont val="Tahoma"/>
            <family val="2"/>
          </rPr>
          <t>Linda Wu:</t>
        </r>
        <r>
          <rPr>
            <sz val="9"/>
            <color indexed="81"/>
            <rFont val="Tahoma"/>
            <family val="2"/>
          </rPr>
          <t xml:space="preserve">
may be condo mapped
</t>
        </r>
      </text>
    </comment>
    <comment ref="AE245" authorId="0" shapeId="0" xr:uid="{1A71E356-3893-48C5-931C-FC63F5875C17}">
      <text>
        <r>
          <rPr>
            <b/>
            <sz val="9"/>
            <color indexed="81"/>
            <rFont val="Tahoma"/>
            <family val="2"/>
          </rPr>
          <t>Linda Wu:</t>
        </r>
        <r>
          <rPr>
            <sz val="9"/>
            <color indexed="81"/>
            <rFont val="Tahoma"/>
            <family val="2"/>
          </rPr>
          <t xml:space="preserve">
may be condo mapped</t>
        </r>
      </text>
    </comment>
    <comment ref="AE291" authorId="0" shapeId="0" xr:uid="{A50DE96F-B775-438B-8A51-34867D5E01B4}">
      <text>
        <r>
          <rPr>
            <b/>
            <sz val="9"/>
            <color indexed="81"/>
            <rFont val="Tahoma"/>
            <family val="2"/>
          </rPr>
          <t>Linda Wu:</t>
        </r>
        <r>
          <rPr>
            <sz val="9"/>
            <color indexed="81"/>
            <rFont val="Tahoma"/>
            <family val="2"/>
          </rPr>
          <t xml:space="preserve">
May be Condo mapped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41">
    <s v="Financial Analytic"/>
    <s v="[Property].[Region].&amp;[Northern California]"/>
    <s v="[Property].[County].&amp;[Alameda]"/>
    <s v="[Property].[Submarket].&amp;[Fremont]"/>
    <s v="[Property].[Property Code].&amp;[172]"/>
    <s v="[Property].[Property Name].&amp;[82]"/>
    <s v="[Property].[Property Code].&amp;[475]"/>
    <s v="[Property].[Property Name].&amp;[8028]"/>
    <s v="[Property].[Property Code].&amp;[sfo1108]"/>
    <s v="[Property].[Property Name].&amp;[5031]"/>
    <s v="[Property].[Property Code].&amp;[sfo1161]"/>
    <s v="[Property].[Property Name].&amp;[5032]"/>
    <s v="[Property].[County].&amp;[Contra Costa]"/>
    <s v="[Property].[Submarket].&amp;[San Ramon]"/>
    <s v="[Property].[Property Code].&amp;[073]"/>
    <s v="[Property].[Property Name].&amp;[31]"/>
    <s v="[Property].[Property Code].&amp;[302]"/>
    <s v="[Property].[Property Name].&amp;[285]"/>
    <s v="[Property].[Property Code].&amp;[332]"/>
    <s v="[Property].[Property Name].&amp;[400]"/>
    <s v="[Property].[Property Code].&amp;[sfo1131]"/>
    <s v="[Property].[Property Name].&amp;[5079]"/>
    <s v="[Property].[County].&amp;[Santa Clara]"/>
    <s v="[Property].[Submarket].&amp;[San Jose MSA]"/>
    <s v="[Property].[Property Code].&amp;[023]"/>
    <s v="[Property].[Property Name].&amp;[840]"/>
    <s v="[Property].[Property Code].&amp;[166]"/>
    <s v="[Property].[Property Name].&amp;[83]"/>
    <s v="[Property].[Property Code].&amp;[198]"/>
    <s v="[Property].[Property Name].&amp;[5623]"/>
    <s v="[Property].[Property Code].&amp;[226]"/>
    <s v="[Property].[Property Name].&amp;[115]"/>
    <s v="[Property].[Property Code].&amp;[345]"/>
    <s v="[Property].[Property Name].&amp;[4065]"/>
    <s v="[Property].[Property Code].&amp;[419]"/>
    <s v="[Property].[Property Name].&amp;[7214]"/>
    <s v="[Property].[Property Code].&amp;[463]"/>
    <s v="[Property].[Property Name].&amp;[8604]"/>
    <s v="[Property].[Property Code].&amp;[490]"/>
    <s v="[Property].[Property Name].&amp;[7995]"/>
    <s v="[Property].[Property Code].&amp;[sfo1272]"/>
    <s v="[Property].[Property Name].&amp;[5088]"/>
    <s v="[Property].[County].&amp;[Santa Cruz]"/>
    <s v="[Property].[Submarket].&amp;[Other NorCal]"/>
    <s v="[Property].[Property Code].&amp;[012]"/>
    <s v="[Property].[Property Name].&amp;[472]"/>
    <s v="[Property].[Region].&amp;[Southern California]"/>
    <s v="[Property].[County].&amp;[Los Angeles]"/>
    <s v="[Property].[Submarket].&amp;[Woodland Hills]"/>
    <s v="[Property].[Property Code].&amp;[027]"/>
    <s v="[Property].[Property Name].&amp;[6]"/>
    <s v="[Property].[County].&amp;[Santa Barbara]"/>
    <s v="[Property].[Submarket].&amp;[Other SoCal]"/>
    <s v="[Property].[Property Code].&amp;[040]"/>
    <s v="[Property].[Property Name].&amp;[143]"/>
    <s v="[Property].[Property Code].&amp;[303]"/>
    <s v="[Property].[Property Name].&amp;[352]"/>
    <s v="[Property].[County].&amp;[Ventura]"/>
    <s v="[Property].[Submarket].&amp;[Ventura]"/>
    <s v="[Property].[Property Code].&amp;[051]"/>
    <s v="[Property].[Property Name].&amp;[21]"/>
    <s v="[Property].[Property Code].&amp;[093]"/>
    <s v="[Property].[Property Name].&amp;[44]"/>
    <s v="[Property].[Property Code].&amp;[102]"/>
    <s v="[Property].[Property Name].&amp;[48]"/>
    <s v="[Property].[Property Code].&amp;[112]"/>
    <s v="[Property].[Property Name].&amp;[119]"/>
    <s v="[Property].[Property Code].&amp;[149]"/>
    <s v="[Property].[Property Name].&amp;[101]"/>
    <s v="[Property].[Property Code].&amp;[150]"/>
    <s v="[Property].[Property Name].&amp;[72]"/>
    <s v="[Property].[Property Code].&amp;[158]"/>
    <s v="[Property].[Property Name].&amp;[75]"/>
    <s v="[Property].[Property Code].&amp;[244]"/>
    <s v="[Property].[Property Name].&amp;[118]"/>
    <s v="[Property].[Property Code].&amp;[292]"/>
    <s v="[Property].[Property Name].&amp;[181]"/>
    <s v="[Property].[Property Code].&amp;[351]"/>
    <s v="[Property].[Property Name].&amp;[1787]"/>
    <s v="[Property].[Region].&amp;[Seattle Metro]"/>
    <s v="[Property].[County].&amp;[King]"/>
    <s v="[Property].[Submarket].&amp;[Eastside]"/>
    <s v="[Property].[Property Code].&amp;[006]"/>
    <s v="[Property].[Property Name].&amp;[1271]"/>
    <s v="[Property].[Property Code].&amp;[035]"/>
    <s v="[Property].[Property Name].&amp;[17]"/>
    <s v="[Property].[Property Code].&amp;[063]"/>
    <s v="[Property].[Property Name].&amp;[24]"/>
    <s v="[Property].[Property Code].&amp;[084]"/>
    <s v="[Property].[Property Name].&amp;[36]"/>
    <s v="[Property].[Property Code].&amp;[128]"/>
    <s v="[Property].[Property Name].&amp;[3109]"/>
    <s v="[Property].[Property Code].&amp;[135]"/>
    <s v="[Property].[Property Name].&amp;[62]"/>
    <s v="[Property].[Property Code].&amp;[336]"/>
    <s v="[Property].[Property Name].&amp;[3392]"/>
    <s v="[Property].[Property Code].&amp;[338]"/>
    <s v="[Property].[Property Name].&amp;[4411]"/>
    <s v="[Property].[County].&amp;[Snohomish]"/>
    <s v="[Property].[Submarket].&amp;[Snohomish]"/>
    <s v="[Property].[Property Code].&amp;[141]"/>
    <s v="[Property].[Property Name].&amp;[68]"/>
    <s v="[Property].[Property Code].&amp;[218]"/>
    <s v="[Property].[Property Name].&amp;[9]"/>
    <s v="[Property].[Property Code].&amp;[pnw1105]"/>
    <s v="[Property].[Property Name].&amp;[5095]"/>
    <s v="[Property].[Property Code].&amp;[109]"/>
    <s v="[Property].[Property Name].&amp;[51]"/>
    <s v="[Property].[Property Code].&amp;[129]"/>
    <s v="[Property].[Property Name].&amp;[60]"/>
    <s v="[Property].[Property Code].&amp;[147]"/>
    <s v="[Property].[Property Name].&amp;[3379]"/>
    <s v="[Property].[Property Code].&amp;[186]"/>
    <s v="[Property].[Property Name].&amp;[483]"/>
    <s v="[Property].[Property Code].&amp;[365]"/>
    <s v="[Property].[Property Name].&amp;[1965]"/>
    <s v="[Property].[Property Code].&amp;[407]"/>
    <s v="[Property].[Property Name].&amp;[5622]"/>
    <s v="[Property].[Property Code].&amp;[411]"/>
    <s v="[Property].[Property Name].&amp;[8092]"/>
    <s v="[Property].[Property Code].&amp;[412]"/>
    <s v="[Property].[Property Name].&amp;[8093]"/>
    <s v="[Property].[Property Code].&amp;[413]"/>
    <s v="[Property].[Property Name].&amp;[8094]"/>
    <s v="[Property].[Property Code].&amp;[418]"/>
    <s v="[Property].[Property Name].&amp;[7141]"/>
    <s v="[Property].[Property Code].&amp;[sfo1267]"/>
    <s v="[Property].[Property Name].&amp;[5086]"/>
    <s v="[Property].[Property Code].&amp;[sfo1274]"/>
    <s v="[Property].[Property Name].&amp;[5091]"/>
    <s v="[Property].[County].&amp;[San Mateo]"/>
    <s v="[Property].[Submarket].&amp;[San Mateo]"/>
    <s v="[Property].[Property Code].&amp;[031]"/>
    <s v="[Property].[Property Name].&amp;[137]"/>
    <s v="[Property].[Property Code].&amp;[313]"/>
    <s v="[Property].[Property Name].&amp;[366]"/>
    <s v="[Property].[Property Code].&amp;[371]"/>
    <s v="[Property].[Property Name].&amp;[2659]"/>
    <s v="[Property].[Property Code].&amp;[482]"/>
    <s v="[Property].[Property Name].&amp;[6277]"/>
    <s v="[Property].[Property Code].&amp;[581]"/>
    <s v="[Property].[Property Name].&amp;[5370]"/>
    <s v="[Property].[Property Code].&amp;[sfo1130]"/>
    <s v="[Property].[Property Name].&amp;[5078]"/>
    <s v="[Property].[Property Code].&amp;[sfo1138]"/>
    <s v="[Property].[Property Name].&amp;[5081]"/>
    <s v="[Property].[Property Code].&amp;[030]"/>
    <s v="[Property].[Property Name].&amp;[11]"/>
    <s v="[Property].[Property Code].&amp;[170]"/>
    <s v="[Property].[Property Name].&amp;[80]"/>
    <s v="[Property].[Property Code].&amp;[387]"/>
    <s v="[Property].[Property Name].&amp;[4108]"/>
    <s v="[Property].[Submarket].&amp;[Los Angeles CBD]"/>
    <s v="[Property].[Property Code].&amp;[032]"/>
    <s v="[Property].[Property Name].&amp;[12]"/>
    <s v="[Property].[Property Code].&amp;[078]"/>
    <s v="[Property].[Property Name].&amp;[1279]"/>
    <s v="[Property].[Property Code].&amp;[187]"/>
    <s v="[Property].[Property Name].&amp;[219]"/>
    <s v="[Property].[Property Code].&amp;[359]"/>
    <s v="[Property].[Property Name].&amp;[3589]"/>
    <s v="[Property].[Property Code].&amp;[388]"/>
    <s v="[Property].[Property Name].&amp;[4227]"/>
    <s v="[Property].[Property Code].&amp;[408]"/>
    <s v="[Property].[Property Name].&amp;[6216]"/>
    <s v="[Property].[Property Code].&amp;[415]"/>
    <s v="[Property].[Property Name].&amp;[6637]"/>
    <s v="[Property].[Submarket].&amp;[Tri-Cities LA]"/>
    <s v="[Property].[Property Code].&amp;[087]"/>
    <s v="[Property].[Property Name].&amp;[40]"/>
    <s v="[Property].[Property Code].&amp;[113]"/>
    <s v="[Property].[Property Name].&amp;[1375]"/>
    <s v="[Property].[Property Code].&amp;[171]"/>
    <s v="[Property].[Property Name].&amp;[81]"/>
    <s v="[Property].[Property Code].&amp;[197]"/>
    <s v="[Property].[Property Name].&amp;[3174]"/>
    <s v="[Property].[Property Code].&amp;[210]"/>
    <s v="[Property].[Property Name].&amp;[1320]"/>
    <s v="[Property].[Property Code].&amp;[211]"/>
    <s v="[Property].[Property Name].&amp;[1229]"/>
    <s v="[Property].[Property Code].&amp;[lax1228]"/>
    <s v="[Property].[Property Name].&amp;[5047]"/>
    <s v="[Property].[Property Code].&amp;[018]"/>
    <s v="[Property].[Property Name].&amp;[676]"/>
    <s v="[Property].[Property Code].&amp;[352]"/>
    <s v="[Property].[Property Name].&amp;[1942]"/>
    <s v="[Property].[Property Code].&amp;[011]"/>
    <s v="[Property].[Property Name].&amp;[1144]"/>
    <s v="[Property].[Property Code].&amp;[025]"/>
    <s v="[Property].[Property Name].&amp;[1008]"/>
    <s v="[Property].[Property Code].&amp;[094]"/>
    <s v="[Property].[Property Name].&amp;[45]"/>
    <s v="[Property].[Property Code].&amp;[116]"/>
    <s v="[Property].[Property Name].&amp;[54]"/>
    <s v="[Property].[Property Code].&amp;[121]"/>
    <s v="[Property].[Property Name].&amp;[1649]"/>
    <s v="[Property].[Property Code].&amp;[130]"/>
    <s v="[Property].[Property Name].&amp;[2582]"/>
    <s v="[Property].[Property Code].&amp;[161]"/>
    <s v="[Property].[Property Name].&amp;[102]"/>
    <s v="[Property].[Property Code].&amp;[220]"/>
    <s v="[Property].[Property Name].&amp;[15]"/>
    <s v="[Property].[Property Code].&amp;[224]"/>
    <s v="[Property].[Property Name].&amp;[8345]"/>
    <s v="[Property].[Property Code].&amp;[333]"/>
    <s v="[Property].[Property Name].&amp;[414]"/>
    <s v="[Property].[Property Code].&amp;[357]"/>
    <s v="[Property].[Property Name].&amp;[3108]"/>
    <s v="[Property].[Property Code].&amp;[476]"/>
    <s v="[Property].[Property Name].&amp;[8029]"/>
    <s v="[Property].[Property Code].&amp;[sfo1256]"/>
    <s v="[Property].[Property Name].&amp;[5085]"/>
    <s v="[Property].[County].&amp;[Marin]"/>
    <s v="[Property].[Submarket].&amp;[Marin]"/>
    <s v="[Property].[Property Code].&amp;[151]"/>
    <s v="[Property].[Property Name].&amp;[107]"/>
    <s v="[Property].[Property Code].&amp;[sfo4014]"/>
    <s v="[Property].[Property Name].&amp;[5094]"/>
    <s v="[Property].[County].&amp;[San Francisco]"/>
    <s v="[Property].[Submarket].&amp;[San Francisco]"/>
    <s v="[Property].[Property Code].&amp;[118]"/>
    <s v="[Property].[Property Name].&amp;[3376]"/>
    <s v="[Property].[Property Code].&amp;[245]"/>
    <s v="[Property].[Property Name].&amp;[3577]"/>
    <s v="[Property].[Property Code].&amp;[247]"/>
    <s v="[Property].[Property Name].&amp;[3825]"/>
    <s v="[Property].[Property Code].&amp;[374]"/>
    <s v="[Property].[Property Name].&amp;[3080]"/>
    <s v="[Property].[Property Code].&amp;[582]"/>
    <s v="[Property].[Property Name].&amp;[5434]"/>
    <s v="[Property].[Property Code].&amp;[lax1217]"/>
    <s v="[Property].[Property Name].&amp;[5028]"/>
    <s v="[Property].[Property Code].&amp;[lax1233]"/>
    <s v="[Property].[Property Name].&amp;[5029]"/>
    <s v="[Property].[Property Code].&amp;[lax1279]"/>
    <s v="[Property].[Property Name].&amp;[5030]"/>
    <s v="[Property].[Property Code].&amp;[422]"/>
    <s v="[Property].[Property Name].&amp;[7964]"/>
    <s v="[Property].[Property Code].&amp;[423]"/>
    <s v="[Property].[Property Name].&amp;[7965]"/>
    <s v="[Property].[Property Code].&amp;[083]"/>
    <s v="[Property].[Property Name].&amp;[120]"/>
    <s v="[Property].[Property Code].&amp;[474]"/>
    <s v="[Property].[Property Name].&amp;[8027]"/>
    <s v="[Property].[County].&amp;[San Diego]"/>
    <s v="[Property].[Submarket].&amp;[Chula Vista]"/>
    <s v="[Property].[Property Code].&amp;[033]"/>
    <s v="[Property].[Property Name].&amp;[85]"/>
    <s v="[Property].[Property Code].&amp;[san1193]"/>
    <s v="[Property].[Property Name].&amp;[5073]"/>
    <s v="[Property].[Submarket].&amp;[North City/Coast]"/>
    <s v="[Property].[Property Code].&amp;[108]"/>
    <s v="[Property].[Property Name].&amp;[89]"/>
    <s v="[Property].[Property Code].&amp;[132]"/>
    <s v="[Property].[Property Name].&amp;[90]"/>
    <s v="[Property].[Property Code].&amp;[137]"/>
    <s v="[Property].[Property Name].&amp;[14]"/>
    <s v="[Property].[Property Code].&amp;[san1134]"/>
    <s v="[Property].[Property Name].&amp;[5070]"/>
    <s v="[Property].[Property Code].&amp;[san1142]"/>
    <s v="[Property].[Property Name].&amp;[5071]"/>
    <s v="[Property].[Property Code].&amp;[san1271]"/>
    <s v="[Property].[Property Name].&amp;[5076]"/>
    <s v="[Property].[Property Code].&amp;[028]"/>
    <s v="[Property].[Property Name].&amp;[106]"/>
    <s v="[Property].[Property Code].&amp;[420]"/>
    <s v="[Property].[Property Name].&amp;[7371]"/>
    <s v="[Property].[Submarket].&amp;[Seattle CBD]"/>
    <s v="[Property].[Property Code].&amp;[115]"/>
    <s v="[Property].[Property Name].&amp;[2084]"/>
    <s v="[Property].[Property Code].&amp;[168]"/>
    <s v="[Property].[Property Name].&amp;[79]"/>
    <s v="[Property].[Property Code].&amp;[246]"/>
    <s v="[Property].[Property Name].&amp;[3586]"/>
    <s v="[Property].[Property Code].&amp;[299]"/>
    <s v="[Property].[Property Name].&amp;[3385]"/>
    <s v="[Property].[Property Code].&amp;[329]"/>
    <s v="[Property].[Property Name].&amp;[390]"/>
    <s v="[Property].[Property Code].&amp;[pnw1214]"/>
    <s v="[Property].[Property Name].&amp;[5111]"/>
    <s v="[Property].[Property Code].&amp;[pnw1247]"/>
    <s v="[Property].[Property Name].&amp;[5106]"/>
    <s v="[Property].[County].&amp;[Orange]"/>
    <s v="[Property].[Submarket].&amp;[North Orange]"/>
    <s v="[Property].[Property Code].&amp;[022]"/>
    <s v="[Property].[Property Name].&amp;[735]"/>
    <s v="[Property].[Property Code].&amp;[042]"/>
    <s v="[Property].[Property Name].&amp;[1352]"/>
    <s v="[Property].[Property Code].&amp;[219]"/>
    <s v="[Property].[Property Name].&amp;[13]"/>
    <s v="[Property].[Property Code].&amp;[242]"/>
    <s v="[Property].[Property Name].&amp;[74]"/>
    <s v="[Property].[Property Code].&amp;[lax1129]"/>
    <s v="[Property].[Property Name].&amp;[5037]"/>
    <s v="[Property].[Property Code].&amp;[lax1166]"/>
    <s v="[Property].[Property Name].&amp;[5059]"/>
    <s v="[Property].[Property Code].&amp;[lax1242]"/>
    <s v="[Property].[Property Name].&amp;[5067]"/>
    <s v="[Property].[Property Code].&amp;[lax1251]"/>
    <s v="[Property].[Property Name].&amp;[5068]"/>
    <s v="[Property].[Submarket].&amp;[South Orange]"/>
    <s v="[Property].[Property Code].&amp;[223]"/>
    <s v="[Property].[Property Name].&amp;[681]"/>
    <s v="[Property].[Property Code].&amp;[080]"/>
    <s v="[Property].[Property Name].&amp;[32]"/>
    <s v="[Property].[Property Code].&amp;[123]"/>
    <s v="[Property].[Property Name].&amp;[3107]"/>
    <s v="[Property].[Property Code].&amp;[239]"/>
    <s v="[Property].[Property Name].&amp;[66]"/>
    <s v="[Property].[Property Code].&amp;[lax4004]"/>
    <s v="[Property].[Property Name].&amp;[5038]"/>
    <s v="[Property].[Property Code].&amp;[068]"/>
    <s v="[Property].[Property Name].&amp;[28]"/>
    <s v="[Property].[Property Code].&amp;[148]"/>
    <s v="[Property].[Property Name].&amp;[65]"/>
    <s v="[Property].[Property Code].&amp;[lax1184]"/>
    <s v="[Property].[Property Name].&amp;[5061]"/>
    <s v="[Property].[Property Code].&amp;[lax1201]"/>
    <s v="[Property].[Property Name].&amp;[5064]"/>
    <s v="[Property].[Property Code].&amp;[lax1209]"/>
    <s v="[Property].[Property Name].&amp;[5065]"/>
    <s v="[Property].[Property Code].&amp;[lax1226]"/>
    <s v="[Property].[Property Name].&amp;[5066]"/>
    <s v="[Property].[Submarket].&amp;[Torrance]"/>
    <s v="[Property].[Property Code].&amp;[007]"/>
    <s v="[Property].[Property Name].&amp;[34]"/>
    <s v="[Property].[Property Code].&amp;[479]"/>
    <s v="[Property].[Property Name].&amp;[8736]"/>
    <s v="[Property].[Submarket].&amp;[West LA]"/>
    <s v="[Property].[Property Code].&amp;[036]"/>
    <s v="[Property].[Property Name].&amp;[1943]"/>
    <s v="[Property].[Property Code].&amp;[071]"/>
    <s v="[Property].[Property Name].&amp;[96]"/>
    <s v="[Property].[Property Code].&amp;[092]"/>
    <s v="[Property].[Property Name].&amp;[46]"/>
    <s v="[Property].[Property Code].&amp;[095]"/>
    <s v="[Property].[Property Name].&amp;[94]"/>
    <s v="[Property].[Property Code].&amp;[lax1245]"/>
    <s v="[Property].[Property Name].&amp;[5049]"/>
    <s v="[Property].[Property Code].&amp;[lax1276]"/>
    <s v="[Property].[Property Name].&amp;[5054]"/>
    <s v="[Property].[Submarket].&amp;[Long Beach]"/>
    <s v="[Property].[Property Code].&amp;[103]"/>
    <s v="[Property].[Property Name].&amp;[84]"/>
    <s v="[Property].[Property Code].&amp;[110]"/>
    <s v="[Property].[Property Name].&amp;[52]"/>
    <s v="[Property].[Property Code].&amp;[167]"/>
    <s v="[Property].[Property Name].&amp;[93]"/>
    <s v="[Property].[Property Code].&amp;[lax1232]"/>
    <s v="[Property].[Property Name].&amp;[5045]"/>
    <s v="[Property].[Property Code].&amp;[169]"/>
    <s v="[Property].[Property Name].&amp;[78]"/>
    <s v="[Property].[Property Code].&amp;[225]"/>
    <s v="[Property].[Property Name].&amp;[57]"/>
    <s v="[Property].[Property Code].&amp;[232]"/>
    <s v="[Property].[Property Name].&amp;[50]"/>
    <s v="[Property].[Property Code].&amp;[241]"/>
    <s v="[Property].[Property Name].&amp;[8]"/>
    <s v="[Property].[Property Code].&amp;[386]"/>
    <s v="[Property].[Property Name].&amp;[3611]"/>
    <s v="[Property].[Property Code].&amp;[473]"/>
    <s v="[Property].[Property Name].&amp;[8026]"/>
    <s v="[Property].[Property Code].&amp;[lax1121]"/>
    <s v="[Property].[Property Name].&amp;[5058]"/>
    <s v="[Property].[Property Code].&amp;[lax1199]"/>
    <s v="[Property].[Property Name].&amp;[5062]"/>
    <s v="[Property].[County].&amp;[Riverside]"/>
    <s v="[Property].[Property Code].&amp;[058]"/>
    <s v="[Property].[Property Name].&amp;[154]"/>
    <s v="[Property].[County].&amp;[San Bernadino]"/>
    <s v="[Property].[Submarket].&amp;[Inland Empire]"/>
    <s v="[Property].[Property Code].&amp;[lax1055]"/>
    <s v="[Property].[Property Name].&amp;[5026]"/>
    <s v="[Property].[Property Code].&amp;[lax1234]"/>
    <s v="[Property].[Property Name].&amp;[5035]"/>
    <s v="[Property].[Property Code].&amp;[009]"/>
    <s v="[Property].[Property Name].&amp;[1269]"/>
    <s v="[Property].[Property Code].&amp;[406]"/>
    <s v="[Property].[Property Name].&amp;[5555]"/>
    <s v="[Property].[Property Code].&amp;[pnw1162]"/>
    <s v="[Property].[Property Name].&amp;[5099]"/>
    <s v="[Property].[Property Code].&amp;[pnw1246]"/>
    <s v="[Property].[Property Name].&amp;[5104]"/>
    <s v="[Property].[Property Code].&amp;[pnw1260]"/>
    <s v="[Property].[Property Name].&amp;[5108]"/>
    <s v="[Property].[Property Code].&amp;[070]"/>
    <s v="[Property].[Property Name].&amp;[27]"/>
    <s v="[Property].[Property Code].&amp;[194]"/>
    <s v="[Property].[Property Name].&amp;[316]"/>
    <s v="[Property].[Property Code].&amp;[215]"/>
    <s v="[Property].[Property Name].&amp;[350]"/>
    <s v="[Property].[Property Code].&amp;[400]"/>
    <s v="[Property].[Property Name].&amp;[4560]"/>
    <s v="[Property].[Property Code].&amp;[403]"/>
    <s v="[Property].[Property Name].&amp;[5329]"/>
    <s v="[Property].[Property Code].&amp;[465]"/>
    <s v="[Property].[Property Name].&amp;[8606]"/>
    <s v="[Property].[Property Code].&amp;[050]"/>
    <s v="[Property].[Property Name].&amp;[92]"/>
    <s v="[Property].[Property Code].&amp;[133]"/>
    <s v="[Property].[Property Name].&amp;[61]"/>
    <s v="[Property].[Property Code].&amp;[pnw1126]"/>
    <s v="[Property].[Property Name].&amp;[5041]"/>
    <s v="[Property].[Property Code].&amp;[pnw1163]"/>
    <s v="[Property].[Property Name].&amp;[5101]"/>
    <s v="[Property].[Property Code].&amp;[131]"/>
    <s v="[Property].[Property Name].&amp;[104]"/>
    <s v="[Property].[Property Code].&amp;[106]"/>
    <s v="[Property].[Property Name].&amp;[214]"/>
    <s v="[Property].[Property Code].&amp;[san1100]"/>
    <s v="[Property].[Property Name].&amp;[5069]"/>
    <s v="[Property].[Property Code].&amp;[san1101]"/>
    <s v="[Property].[Property Name].&amp;[5039]"/>
    <s v="[Property].[Property Code].&amp;[san1190]"/>
    <s v="[Property].[Property Name].&amp;[5072]"/>
    <s v="[Property].[Property Code].&amp;[san1231]"/>
    <s v="[Property].[Property Name].&amp;[5074]"/>
    <s v="[Property].[Property Code].&amp;[san1258]"/>
    <s v="[Property].[Property Name].&amp;[5075]"/>
    <s v="[Property].[Submarket].&amp;[Oceanside/Esc]"/>
    <s v="[Property].[Property Code].&amp;[056]"/>
    <s v="[Property].[Property Name].&amp;[105]"/>
    <s v="[Property].[Property Code].&amp;[100]"/>
    <s v="[Property].[Property Name].&amp;[125]"/>
    <s v="[Property].[Submarket].&amp;[Oakland CBD]"/>
    <s v="[Property].[Property Code].&amp;[178]"/>
    <s v="[Property].[Property Name].&amp;[211]"/>
    <s v="[Property].[Property Code].&amp;[180]"/>
    <s v="[Property].[Property Name].&amp;[307]"/>
    <s v="[Property].[Property Code].&amp;[362]"/>
    <s v="[Property].[Property Name].&amp;[5477]"/>
    <s v="[Property].[Property Code].&amp;[sfo1244]"/>
    <s v="[Property].[Property Name].&amp;[5083]"/>
    <s v="[Property].[Property Code].&amp;[sfo1281]"/>
    <s v="[Property].[Property Name].&amp;[5092]"/>
    <s v="[Property].[Property Code].&amp;[127]"/>
    <s v="[Property].[Property Name].&amp;[59]"/>
    <s v="[Property].[Property Code].&amp;[382]"/>
    <s v="[Property].[Property Name].&amp;[3948]"/>
    <s v="[Property].[Property Code].&amp;[sfo1282]"/>
    <s v="[Property].[Property Name].&amp;[5093]"/>
    <s v="[Property].[Property Code].&amp;[sfo1273]"/>
    <s v="[Property].[Property Name].&amp;[5089]"/>
    <s v="[Property].[Property Code].&amp;[061]"/>
    <s v="[Property].[Property Name].&amp;[3086]"/>
    <s v="[Property].[Property Code].&amp;[086]"/>
    <s v="[Property].[Property Name].&amp;[38]"/>
    <s v="[Property].[Property Code].&amp;[117]"/>
    <s v="[Property].[Property Name].&amp;[55]"/>
    <s v="[Property].[Property Code].&amp;[380]"/>
    <s v="[Property].[Property Name].&amp;[2247]"/>
    <s v="[Property].[Property Code].&amp;[381]"/>
    <s v="[Property].[Property Name].&amp;[2555]"/>
    <s v="[Property].[Property Code].&amp;[lax1239]"/>
    <s v="[Property].[Property Name].&amp;[5024]"/>
    <s v="[Property].[Property Code].&amp;[lax1240]"/>
    <s v="[Property].[Property Name].&amp;[5025]"/>
    <s v="[Property].[Property Code].&amp;[lax1241]"/>
    <s v="[Property].[Property Name].&amp;[5048]"/>
    <s v="[Property].[Property Code].&amp;[lax1249]"/>
    <s v="[Property].[Property Name].&amp;[5050]"/>
    <s v="[Property].[Property Code].&amp;[lax1255]"/>
    <s v="[Property].[Property Name].&amp;[5051]"/>
    <s v="[Property].[Property Code].&amp;[lax1259]"/>
    <s v="[Property].[Property Name].&amp;[5052]"/>
    <s v="[Property].[Property Code].&amp;[136]"/>
    <s v="[Property].[Property Name].&amp;[64]"/>
    <s v="[Property].[Property Code].&amp;[146]"/>
    <s v="[Property].[Property Name].&amp;[71]"/>
    <s v="[Property].[Property Code].&amp;[355]"/>
    <s v="[Property].[Property Name].&amp;[2403]"/>
    <s v="[Property].[Property Code].&amp;[356]"/>
    <s v="[Property].[Property Name].&amp;[2404]"/>
    <s v="[Property].[Property Code].&amp;[405]"/>
    <s v="[Property].[Property Name].&amp;[5554]"/>
    <s v="[Property].[Property Code].&amp;[sfo1132]"/>
    <s v="[Property].[Property Name].&amp;[5080]"/>
    <s v="[Property].[Property Code].&amp;[sfo1205]"/>
    <s v="[Property].[Property Name].&amp;[5082]"/>
    <s v="[Property].[Property Code].&amp;[368]"/>
    <s v="[Property].[Property Name].&amp;[2245]"/>
    <s v="[Property].[Property Code].&amp;[498]"/>
    <s v="[Property].[Property Name].&amp;[5620]"/>
    <s v="[Property].[Property Code].&amp;[145]"/>
    <s v="[Property].[Property Name].&amp;[10]"/>
    <s v="[Property].[Property Code].&amp;[017]"/>
    <s v="[Property].[Property Name].&amp;[534]"/>
    <s v="[Property].[Property Code].&amp;[041]"/>
    <s v="[Property].[Property Name].&amp;[19]"/>
    <s v="[Property].[Property Code].&amp;[066]"/>
    <s v="[Property].[Property Name].&amp;[25]"/>
    <s v="[Property].[Property Code].&amp;[111]"/>
    <s v="[Property].[Property Name].&amp;[111]"/>
    <s v="[Property].[Property Code].&amp;[134]"/>
    <s v="[Property].[Property Name].&amp;[63]"/>
    <s v="[Property].[Submarket].&amp;[South]"/>
    <s v="[Property].[Property Code].&amp;[034]"/>
    <s v="[Property].[Property Name].&amp;[16]"/>
    <s v="[Property].[Property Code].&amp;[074]"/>
    <s v="[Property].[Property Name].&amp;[91]"/>
    <s v="[Property].[Property Code].&amp;[164]"/>
    <s v="[Property].[Property Name].&amp;[77]"/>
    <s v="[Property].[Property Code].&amp;[229]"/>
    <s v="[Property].[Property Name].&amp;[112]"/>
    <s v="[Property].[Property Code].&amp;[pnw1191]"/>
    <s v="[Property].[Property Name].&amp;[5102]"/>
    <s v="[Property].[Property Code].&amp;[003]"/>
    <s v="[Property].[Property Name].&amp;[117]"/>
    <s v="[Property].[Property Code].&amp;[020]"/>
    <s v="[Property].[Property Name].&amp;[921]"/>
    <s v="[Property].[Property Code].&amp;[055]"/>
    <s v="[Property].[Property Name].&amp;[5256]"/>
    <s v="[Property].[Property Code].&amp;[069]"/>
    <s v="[Property].[Property Name].&amp;[29]"/>
    <s v="[Property].[Property Code].&amp;[144]"/>
    <s v="[Property].[Property Name].&amp;[70]"/>
    <s v="[Property].[Property Code].&amp;[162]"/>
    <s v="[Property].[Property Name].&amp;[2454]"/>
    <s v="[Property].[Property Code].&amp;[163]"/>
    <s v="[Property].[Property Name].&amp;[30]"/>
    <s v="[Property].[Property Code].&amp;[353]"/>
    <s v="[Property].[Property Name].&amp;[2162]"/>
    <s v="[Property].[Property Code].&amp;[354]"/>
    <s v="[Property].[Property Name].&amp;[2163]"/>
    <s v="[Property].[Property Code].&amp;[pnw1107]"/>
    <s v="[Property].[Property Name].&amp;[5096]"/>
    <s v="[Property].[Property Code].&amp;[pnw1159]"/>
    <s v="[Property].[Property Name].&amp;[5097]"/>
    <s v="[Property].[Property Code].&amp;[pnw1243]"/>
    <s v="[Property].[Property Name].&amp;[5103]"/>
    <s v="[Portfolio].[Property Status].&amp;[Same Store]"/>
    <s v="[Portfolio].[Property Status].&amp;[Non Same Store]"/>
    <s v="[Portfolio].[Property Status].&amp;[Other]"/>
    <s v="[Portfolio].[Property Status].&amp;[Wesco I]"/>
    <s v="[Portfolio].[Property Status].&amp;[CPP]"/>
    <s v="[Portfolio].[Property Status].&amp;[Wesco III]"/>
    <s v="[Portfolio].[Property Status].&amp;[Wesco V]"/>
    <s v="[Portfolio].[Property Status].&amp;[BEX II]"/>
    <s v="[Portfolio].[Property Status].&amp;[AEW]"/>
    <s v="[Portfolio].[Property Status].&amp;[Wesco IV]"/>
    <s v="[Portfolio].[Property Status].&amp;[BEX III]"/>
  </metadataStrings>
  <mdxMetadata count="242">
    <mdx n="0" f="m">
      <t c="6">
        <n x="79"/>
        <n x="80"/>
        <n x="81"/>
        <n x="506"/>
        <n x="507"/>
        <n x="530"/>
      </t>
    </mdx>
    <mdx n="0" f="m">
      <t c="6">
        <n x="46"/>
        <n x="47"/>
        <n x="323"/>
        <n x="324"/>
        <n x="325"/>
        <n x="530"/>
      </t>
    </mdx>
    <mdx n="0" f="m">
      <t c="6">
        <n x="79"/>
        <n x="80"/>
        <n x="81"/>
        <n x="375"/>
        <n x="376"/>
        <n x="530"/>
      </t>
    </mdx>
    <mdx n="0" f="m">
      <t c="6">
        <n x="46"/>
        <n x="47"/>
        <n x="48"/>
        <n x="182"/>
        <n x="183"/>
        <n x="530"/>
      </t>
    </mdx>
    <mdx n="0" f="m">
      <t c="6">
        <n x="1"/>
        <n x="22"/>
        <n x="23"/>
        <n x="188"/>
        <n x="189"/>
        <n x="530"/>
      </t>
    </mdx>
    <mdx n="0" f="m">
      <t c="6">
        <n x="79"/>
        <n x="80"/>
        <n x="81"/>
        <n x="82"/>
        <n x="83"/>
        <n x="530"/>
      </t>
    </mdx>
    <mdx n="0" f="m">
      <t c="6">
        <n x="1"/>
        <n x="42"/>
        <n x="43"/>
        <n x="44"/>
        <n x="45"/>
        <n x="530"/>
      </t>
    </mdx>
    <mdx n="0" f="m">
      <t c="6">
        <n x="1"/>
        <n x="130"/>
        <n x="131"/>
        <n x="132"/>
        <n x="133"/>
        <n x="530"/>
      </t>
    </mdx>
    <mdx n="0" f="m">
      <t c="6">
        <n x="79"/>
        <n x="80"/>
        <n x="81"/>
        <n x="84"/>
        <n x="85"/>
        <n x="530"/>
      </t>
    </mdx>
    <mdx n="0" f="m">
      <t c="6">
        <n x="46"/>
        <n x="282"/>
        <n x="283"/>
        <n x="284"/>
        <n x="285"/>
        <n x="530"/>
      </t>
    </mdx>
    <mdx n="0" f="m">
      <t c="6">
        <n x="46"/>
        <n x="244"/>
        <n x="52"/>
        <n x="263"/>
        <n x="264"/>
        <n x="530"/>
      </t>
    </mdx>
    <mdx n="0" f="m">
      <t c="6">
        <n x="46"/>
        <n x="282"/>
        <n x="283"/>
        <n x="286"/>
        <n x="287"/>
        <n x="530"/>
      </t>
    </mdx>
    <mdx n="0" f="m">
      <t c="6">
        <n x="46"/>
        <n x="244"/>
        <n x="245"/>
        <n x="246"/>
        <n x="247"/>
        <n x="530"/>
      </t>
    </mdx>
    <mdx n="0" f="m">
      <t c="6">
        <n x="46"/>
        <n x="51"/>
        <n x="52"/>
        <n x="53"/>
        <n x="54"/>
        <n x="531"/>
      </t>
    </mdx>
    <mdx n="0" f="m">
      <t c="6">
        <n x="46"/>
        <n x="57"/>
        <n x="58"/>
        <n x="59"/>
        <n x="60"/>
        <n x="530"/>
      </t>
    </mdx>
    <mdx n="0" f="m">
      <t c="6">
        <n x="1"/>
        <n x="22"/>
        <n x="23"/>
        <n x="186"/>
        <n x="187"/>
        <n x="530"/>
      </t>
    </mdx>
    <mdx n="0" f="m">
      <t c="6">
        <n x="79"/>
        <n x="80"/>
        <n x="81"/>
        <n x="508"/>
        <n x="509"/>
        <n x="530"/>
      </t>
    </mdx>
    <mdx n="0" f="m">
      <t c="6">
        <n x="46"/>
        <n x="244"/>
        <n x="419"/>
        <n x="420"/>
        <n x="421"/>
        <n x="530"/>
      </t>
    </mdx>
    <mdx n="0" f="m">
      <t c="6">
        <n x="46"/>
        <n x="47"/>
        <n x="48"/>
        <n x="49"/>
        <n x="50"/>
        <n x="530"/>
      </t>
    </mdx>
    <mdx n="0" f="m">
      <t c="6">
        <n x="46"/>
        <n x="47"/>
        <n x="152"/>
        <n x="153"/>
        <n x="154"/>
        <n x="531"/>
      </t>
    </mdx>
    <mdx n="0" f="m">
      <t c="6">
        <n x="46"/>
        <n x="47"/>
        <n x="328"/>
        <n x="329"/>
        <n x="330"/>
        <n x="530"/>
      </t>
    </mdx>
    <mdx n="0" f="m">
      <t c="6">
        <n x="79"/>
        <n x="98"/>
        <n x="99"/>
        <n x="397"/>
        <n x="398"/>
        <n x="530"/>
      </t>
    </mdx>
    <mdx n="0" f="m">
      <t c="6">
        <n x="46"/>
        <n x="366"/>
        <n x="52"/>
        <n x="367"/>
        <n x="368"/>
        <n x="530"/>
      </t>
    </mdx>
    <mdx n="0" f="m">
      <t c="6">
        <n x="46"/>
        <n x="282"/>
        <n x="300"/>
        <n x="311"/>
        <n x="312"/>
        <n x="530"/>
      </t>
    </mdx>
    <mdx n="0" f="m">
      <t c="6">
        <n x="1"/>
        <n x="12"/>
        <n x="13"/>
        <n x="14"/>
        <n x="15"/>
        <n x="530"/>
      </t>
    </mdx>
    <mdx n="0" f="m">
      <t c="6">
        <n x="79"/>
        <n x="80"/>
        <n x="81"/>
        <n x="489"/>
        <n x="490"/>
        <n x="530"/>
      </t>
    </mdx>
    <mdx n="0" f="m">
      <t c="6">
        <n x="46"/>
        <n x="57"/>
        <n x="58"/>
        <n x="240"/>
        <n x="241"/>
        <n x="530"/>
      </t>
    </mdx>
    <mdx n="0" f="m">
      <t c="6">
        <n x="46"/>
        <n x="47"/>
        <n x="328"/>
        <n x="331"/>
        <n x="332"/>
        <n x="530"/>
      </t>
    </mdx>
    <mdx n="0" f="m">
      <t c="6">
        <n x="46"/>
        <n x="47"/>
        <n x="328"/>
        <n x="333"/>
        <n x="334"/>
        <n x="530"/>
      </t>
    </mdx>
    <mdx n="0" f="m">
      <t c="6">
        <n x="46"/>
        <n x="282"/>
        <n x="283"/>
        <n x="303"/>
        <n x="304"/>
        <n x="530"/>
      </t>
    </mdx>
    <mdx n="0" f="m">
      <t c="6">
        <n x="46"/>
        <n x="47"/>
        <n x="167"/>
        <n x="168"/>
        <n x="169"/>
        <n x="530"/>
      </t>
    </mdx>
    <mdx n="0" f="m">
      <t c="6">
        <n x="46"/>
        <n x="47"/>
        <n x="328"/>
        <n x="335"/>
        <n x="336"/>
        <n x="530"/>
      </t>
    </mdx>
    <mdx n="0" f="m">
      <t c="6">
        <n x="46"/>
        <n x="244"/>
        <n x="419"/>
        <n x="422"/>
        <n x="423"/>
        <n x="530"/>
      </t>
    </mdx>
    <mdx n="0" f="m">
      <t c="6">
        <n x="46"/>
        <n x="244"/>
        <n x="250"/>
        <n x="251"/>
        <n x="252"/>
        <n x="530"/>
      </t>
    </mdx>
    <mdx n="0" f="m">
      <t c="6">
        <n x="46"/>
        <n x="57"/>
        <n x="58"/>
        <n x="65"/>
        <n x="66"/>
        <n x="530"/>
      </t>
    </mdx>
    <mdx n="0" f="m">
      <t c="6">
        <n x="46"/>
        <n x="244"/>
        <n x="250"/>
        <n x="407"/>
        <n x="408"/>
        <n x="530"/>
      </t>
    </mdx>
    <mdx n="0" f="m">
      <t c="6">
        <n x="46"/>
        <n x="47"/>
        <n x="328"/>
        <n x="447"/>
        <n x="448"/>
        <n x="530"/>
      </t>
    </mdx>
    <mdx n="0" f="m">
      <t c="6">
        <n x="79"/>
        <n x="80"/>
        <n x="81"/>
        <n x="491"/>
        <n x="492"/>
        <n x="530"/>
      </t>
    </mdx>
    <mdx n="0" f="m">
      <t c="6">
        <n x="1"/>
        <n x="22"/>
        <n x="23"/>
        <n x="192"/>
        <n x="193"/>
        <n x="530"/>
      </t>
    </mdx>
    <mdx n="0" f="m">
      <t c="6">
        <n x="1"/>
        <n x="12"/>
        <n x="43"/>
        <n x="435"/>
        <n x="436"/>
        <n x="530"/>
      </t>
    </mdx>
    <mdx n="0" f="m">
      <t c="6">
        <n x="46"/>
        <n x="282"/>
        <n x="283"/>
        <n x="305"/>
        <n x="306"/>
        <n x="530"/>
      </t>
    </mdx>
    <mdx n="0" f="m">
      <t c="6">
        <n x="1"/>
        <n x="22"/>
        <n x="23"/>
        <n x="196"/>
        <n x="197"/>
        <n x="530"/>
      </t>
    </mdx>
    <mdx n="0" f="m">
      <t c="6">
        <n x="46"/>
        <n x="244"/>
        <n x="245"/>
        <n x="405"/>
        <n x="406"/>
        <n x="530"/>
      </t>
    </mdx>
    <mdx n="0" f="m">
      <t c="6">
        <n x="79"/>
        <n x="80"/>
        <n x="81"/>
        <n x="92"/>
        <n x="93"/>
        <n x="530"/>
      </t>
    </mdx>
    <mdx n="0" f="m">
      <t c="6">
        <n x="79"/>
        <n x="80"/>
        <n x="81"/>
        <n x="493"/>
        <n x="494"/>
        <n x="530"/>
      </t>
    </mdx>
    <mdx n="0" f="m">
      <t c="6">
        <n x="79"/>
        <n x="98"/>
        <n x="99"/>
        <n x="100"/>
        <n x="101"/>
        <n x="530"/>
      </t>
    </mdx>
    <mdx n="0" f="m">
      <t c="6">
        <n x="79"/>
        <n x="80"/>
        <n x="81"/>
        <n x="514"/>
        <n x="515"/>
        <n x="530"/>
      </t>
    </mdx>
    <mdx n="0" f="m">
      <t c="6">
        <n x="1"/>
        <n x="22"/>
        <n x="23"/>
        <n x="110"/>
        <n x="111"/>
        <n x="530"/>
      </t>
    </mdx>
    <mdx n="0" f="m">
      <t c="6">
        <n x="1"/>
        <n x="212"/>
        <n x="213"/>
        <n x="214"/>
        <n x="215"/>
        <n x="530"/>
      </t>
    </mdx>
    <mdx n="0" f="m">
      <t c="6">
        <n x="46"/>
        <n x="282"/>
        <n x="300"/>
        <n x="313"/>
        <n x="314"/>
        <n x="530"/>
      </t>
    </mdx>
    <mdx n="0" f="m">
      <t c="6">
        <n x="46"/>
        <n x="57"/>
        <n x="58"/>
        <n x="71"/>
        <n x="72"/>
        <n x="530"/>
      </t>
    </mdx>
    <mdx n="0" f="m">
      <t c="6">
        <n x="79"/>
        <n x="80"/>
        <n x="81"/>
        <n x="518"/>
        <n x="519"/>
        <n x="530"/>
      </t>
    </mdx>
    <mdx n="0" f="m">
      <t c="6">
        <n x="79"/>
        <n x="80"/>
        <n x="267"/>
        <n x="270"/>
        <n x="271"/>
        <n x="530"/>
      </t>
    </mdx>
    <mdx n="0" f="m">
      <t c="6">
        <n x="1"/>
        <n x="2"/>
        <n x="3"/>
        <n x="4"/>
        <n x="5"/>
        <n x="530"/>
      </t>
    </mdx>
    <mdx n="0" f="m">
      <t c="6">
        <n x="79"/>
        <n x="80"/>
        <n x="495"/>
        <n x="500"/>
        <n x="501"/>
        <n x="530"/>
      </t>
    </mdx>
    <mdx n="0" f="m">
      <t c="6">
        <n x="46"/>
        <n x="47"/>
        <n x="152"/>
        <n x="157"/>
        <n x="158"/>
        <n x="530"/>
      </t>
    </mdx>
    <mdx n="0" f="m">
      <t c="6">
        <n x="46"/>
        <n x="47"/>
        <n x="167"/>
        <n x="174"/>
        <n x="175"/>
        <n x="530"/>
      </t>
    </mdx>
    <mdx n="0" f="m">
      <t c="6">
        <n x="46"/>
        <n x="282"/>
        <n x="283"/>
        <n x="350"/>
        <n x="351"/>
        <n x="530"/>
      </t>
    </mdx>
    <mdx n="0" f="m">
      <t c="6">
        <n x="1"/>
        <n x="2"/>
        <n x="424"/>
        <n x="425"/>
        <n x="426"/>
        <n x="530"/>
      </t>
    </mdx>
    <mdx n="0" f="m">
      <t c="6">
        <n x="1"/>
        <n x="22"/>
        <n x="23"/>
        <n x="28"/>
        <n x="29"/>
        <n x="532"/>
      </t>
    </mdx>
    <mdx n="0" f="m">
      <t c="6">
        <n x="79"/>
        <n x="98"/>
        <n x="99"/>
        <n x="102"/>
        <n x="103"/>
        <n x="530"/>
      </t>
    </mdx>
    <mdx n="0" f="m">
      <t c="6">
        <n x="79"/>
        <n x="80"/>
        <n x="267"/>
        <n x="389"/>
        <n x="390"/>
        <n x="530"/>
      </t>
    </mdx>
    <mdx n="0" f="m">
      <t c="6">
        <n x="1"/>
        <n x="22"/>
        <n x="23"/>
        <n x="202"/>
        <n x="203"/>
        <n x="531"/>
      </t>
    </mdx>
    <mdx n="0" f="m">
      <t c="6">
        <n x="46"/>
        <n x="282"/>
        <n x="300"/>
        <n x="301"/>
        <n x="302"/>
        <n x="530"/>
      </t>
    </mdx>
    <mdx n="0" f="m">
      <t c="6">
        <n x="46"/>
        <n x="282"/>
        <n x="283"/>
        <n x="354"/>
        <n x="355"/>
        <n x="530"/>
      </t>
    </mdx>
    <mdx n="0" f="m">
      <t c="6">
        <n x="46"/>
        <n x="57"/>
        <n x="58"/>
        <n x="73"/>
        <n x="74"/>
        <n x="530"/>
      </t>
    </mdx>
    <mdx n="0" f="m">
      <t c="6">
        <n x="46"/>
        <n x="57"/>
        <n x="58"/>
        <n x="75"/>
        <n x="76"/>
        <n x="530"/>
      </t>
    </mdx>
    <mdx n="0" f="m">
      <t c="6">
        <n x="1"/>
        <n x="130"/>
        <n x="131"/>
        <n x="134"/>
        <n x="135"/>
        <n x="530"/>
      </t>
    </mdx>
    <mdx n="0" f="m">
      <t c="6">
        <n x="79"/>
        <n x="80"/>
        <n x="81"/>
        <n x="94"/>
        <n x="95"/>
        <n x="530"/>
      </t>
    </mdx>
    <mdx n="0" f="m">
      <t c="6">
        <n x="46"/>
        <n x="47"/>
        <n x="48"/>
        <n x="184"/>
        <n x="185"/>
        <n x="530"/>
      </t>
    </mdx>
    <mdx n="0" f="m">
      <t c="6">
        <n x="79"/>
        <n x="80"/>
        <n x="495"/>
        <n x="502"/>
        <n x="503"/>
        <n x="530"/>
      </t>
    </mdx>
    <mdx n="0" f="m">
      <t c="6">
        <n x="46"/>
        <n x="282"/>
        <n x="283"/>
        <n x="290"/>
        <n x="291"/>
        <n x="530"/>
      </t>
    </mdx>
    <mdx n="0" f="m">
      <t c="6">
        <n x="1"/>
        <n x="218"/>
        <n x="219"/>
        <n x="224"/>
        <n x="225"/>
        <n x="530"/>
      </t>
    </mdx>
    <mdx n="0" f="m">
      <t c="6">
        <n x="1"/>
        <n x="2"/>
        <n x="3"/>
        <n x="471"/>
        <n x="472"/>
        <n x="533"/>
      </t>
    </mdx>
    <mdx n="0" f="m">
      <t c="6">
        <n x="46"/>
        <n x="51"/>
        <n x="52"/>
        <n x="55"/>
        <n x="56"/>
        <n x="530"/>
      </t>
    </mdx>
    <mdx n="0" f="m">
      <t c="6">
        <n x="1"/>
        <n x="22"/>
        <n x="23"/>
        <n x="114"/>
        <n x="115"/>
        <n x="534"/>
      </t>
    </mdx>
    <mdx n="0" f="m">
      <t c="6">
        <n x="1"/>
        <n x="22"/>
        <n x="23"/>
        <n x="204"/>
        <n x="205"/>
        <n x="530"/>
      </t>
    </mdx>
    <mdx n="0" f="m">
      <t c="6">
        <n x="46"/>
        <n x="57"/>
        <n x="58"/>
        <n x="77"/>
        <n x="78"/>
        <n x="533"/>
      </t>
    </mdx>
    <mdx n="0" f="m">
      <t c="6">
        <n x="1"/>
        <n x="2"/>
        <n x="3"/>
        <n x="469"/>
        <n x="470"/>
        <n x="533"/>
      </t>
    </mdx>
    <mdx n="0" f="m">
      <t c="6">
        <n x="46"/>
        <n x="282"/>
        <n x="283"/>
        <n x="358"/>
        <n x="359"/>
        <n x="535"/>
      </t>
    </mdx>
    <mdx n="0" f="m">
      <t c="6">
        <n x="1"/>
        <n x="2"/>
        <n x="424"/>
        <n x="429"/>
        <n x="430"/>
        <n x="534"/>
      </t>
    </mdx>
    <mdx n="0" f="m">
      <t c="6">
        <n x="1"/>
        <n x="218"/>
        <n x="219"/>
        <n x="226"/>
        <n x="227"/>
        <n x="534"/>
      </t>
    </mdx>
    <mdx n="0" f="m">
      <t c="6">
        <n x="46"/>
        <n x="47"/>
        <n x="328"/>
        <n x="443"/>
        <n x="444"/>
        <n x="530"/>
      </t>
    </mdx>
    <mdx n="0" f="m">
      <t c="6">
        <n x="1"/>
        <n x="12"/>
        <n x="13"/>
        <n x="437"/>
        <n x="438"/>
        <n x="534"/>
      </t>
    </mdx>
    <mdx n="0" f="m">
      <t c="6">
        <n x="79"/>
        <n x="80"/>
        <n x="267"/>
        <n x="391"/>
        <n x="392"/>
        <n x="530"/>
      </t>
    </mdx>
    <mdx n="0" f="m">
      <t c="6">
        <n x="79"/>
        <n x="80"/>
        <n x="81"/>
        <n x="512"/>
        <n x="513"/>
        <n x="530"/>
      </t>
    </mdx>
    <mdx n="0" f="m">
      <t c="6">
        <n x="1"/>
        <n x="22"/>
        <n x="23"/>
        <n x="116"/>
        <n x="117"/>
        <n x="530"/>
      </t>
    </mdx>
    <mdx n="0" f="m">
      <t c="6">
        <n x="1"/>
        <n x="22"/>
        <n x="23"/>
        <n x="122"/>
        <n x="123"/>
        <n x="531"/>
      </t>
    </mdx>
    <mdx n="0" f="m">
      <t c="6">
        <n x="46"/>
        <n x="244"/>
        <n x="52"/>
        <n x="265"/>
        <n x="266"/>
        <n x="530"/>
      </t>
    </mdx>
    <mdx n="0" f="m">
      <t c="6">
        <n x="79"/>
        <n x="80"/>
        <n x="495"/>
        <n x="498"/>
        <n x="499"/>
        <n x="530"/>
      </t>
    </mdx>
    <mdx n="0" f="m">
      <t c="6">
        <n x="79"/>
        <n x="80"/>
        <n x="81"/>
        <n x="88"/>
        <n x="89"/>
        <n x="530"/>
      </t>
    </mdx>
    <mdx n="0" f="m">
      <t c="6">
        <n x="46"/>
        <n x="57"/>
        <n x="58"/>
        <n x="61"/>
        <n x="62"/>
        <n x="530"/>
      </t>
    </mdx>
    <mdx n="0" f="m">
      <t c="6">
        <n x="46"/>
        <n x="57"/>
        <n x="58"/>
        <n x="63"/>
        <n x="64"/>
        <n x="530"/>
      </t>
    </mdx>
    <mdx n="0" f="m">
      <t c="6">
        <n x="79"/>
        <n x="80"/>
        <n x="267"/>
        <n x="395"/>
        <n x="396"/>
        <n x="536"/>
      </t>
    </mdx>
    <mdx n="0" f="m">
      <t c="6">
        <n x="1"/>
        <n x="22"/>
        <n x="23"/>
        <n x="106"/>
        <n x="107"/>
        <n x="530"/>
      </t>
    </mdx>
    <mdx n="0" f="m">
      <t c="6">
        <n x="1"/>
        <n x="22"/>
        <n x="23"/>
        <n x="208"/>
        <n x="209"/>
        <n x="537"/>
      </t>
    </mdx>
    <mdx n="0" f="m">
      <t c="6">
        <n x="46"/>
        <n x="47"/>
        <n x="167"/>
        <n x="170"/>
        <n x="171"/>
        <n x="530"/>
      </t>
    </mdx>
    <mdx n="0" f="m">
      <t c="6">
        <n x="1"/>
        <n x="218"/>
        <n x="219"/>
        <n x="220"/>
        <n x="221"/>
        <n x="530"/>
      </t>
    </mdx>
    <mdx n="0" f="m">
      <t c="6">
        <n x="79"/>
        <n x="80"/>
        <n x="81"/>
        <n x="90"/>
        <n x="91"/>
        <n x="530"/>
      </t>
    </mdx>
    <mdx n="0" f="m">
      <t c="6">
        <n x="46"/>
        <n x="244"/>
        <n x="250"/>
        <n x="253"/>
        <n x="254"/>
        <n x="530"/>
      </t>
    </mdx>
    <mdx n="0" f="m">
      <t c="6">
        <n x="1"/>
        <n x="130"/>
        <n x="131"/>
        <n x="140"/>
        <n x="141"/>
        <n x="530"/>
      </t>
    </mdx>
    <mdx n="0" f="m">
      <t c="6">
        <n x="1"/>
        <n x="2"/>
        <n x="3"/>
        <n x="465"/>
        <n x="466"/>
        <n x="530"/>
      </t>
    </mdx>
    <mdx n="0" f="m">
      <t c="6">
        <n x="46"/>
        <n x="282"/>
        <n x="283"/>
        <n x="294"/>
        <n x="295"/>
        <n x="530"/>
      </t>
    </mdx>
    <mdx n="0" f="m">
      <t c="6">
        <n x="46"/>
        <n x="282"/>
        <n x="300"/>
        <n x="319"/>
        <n x="320"/>
        <n x="530"/>
      </t>
    </mdx>
    <mdx n="0" f="m">
      <t c="6">
        <n x="1"/>
        <n x="12"/>
        <n x="13"/>
        <n x="483"/>
        <n x="484"/>
        <n x="530"/>
      </t>
    </mdx>
    <mdx n="0" f="m">
      <t c="6">
        <n x="46"/>
        <n x="57"/>
        <n x="58"/>
        <n x="67"/>
        <n x="68"/>
        <n x="530"/>
      </t>
    </mdx>
    <mdx n="0" f="m">
      <t c="6">
        <n x="1"/>
        <n x="22"/>
        <n x="23"/>
        <n x="198"/>
        <n x="199"/>
        <n x="530"/>
      </t>
    </mdx>
    <mdx n="0" f="m">
      <t c="6">
        <n x="1"/>
        <n x="22"/>
        <n x="23"/>
        <n x="26"/>
        <n x="27"/>
        <n x="530"/>
      </t>
    </mdx>
    <mdx n="0" f="m">
      <t c="6">
        <n x="1"/>
        <n x="22"/>
        <n x="23"/>
        <n x="148"/>
        <n x="149"/>
        <n x="530"/>
      </t>
    </mdx>
    <mdx n="0" f="m">
      <t c="6">
        <n x="46"/>
        <n x="47"/>
        <n x="52"/>
        <n x="348"/>
        <n x="349"/>
        <n x="530"/>
      </t>
    </mdx>
    <mdx n="0" f="m">
      <t c="6">
        <n x="46"/>
        <n x="47"/>
        <n x="328"/>
        <n x="455"/>
        <n x="456"/>
        <n x="535"/>
      </t>
    </mdx>
    <mdx n="0" f="m">
      <t c="6">
        <n x="1"/>
        <n x="2"/>
        <n x="424"/>
        <n x="427"/>
        <n x="428"/>
        <n x="530"/>
      </t>
    </mdx>
    <mdx n="0" f="m">
      <t c="6">
        <n x="46"/>
        <n x="47"/>
        <n x="328"/>
        <n x="459"/>
        <n x="460"/>
        <n x="530"/>
      </t>
    </mdx>
    <mdx n="0" f="m">
      <t c="6">
        <n x="79"/>
        <n x="80"/>
        <n x="267"/>
        <n x="387"/>
        <n x="388"/>
        <n x="532"/>
      </t>
    </mdx>
    <mdx n="0" f="m">
      <t c="6">
        <n x="46"/>
        <n x="47"/>
        <n x="167"/>
        <n x="176"/>
        <n x="177"/>
        <n x="530"/>
      </t>
    </mdx>
    <mdx n="0" f="m">
      <t c="6">
        <n x="46"/>
        <n x="47"/>
        <n x="328"/>
        <n x="339"/>
        <n x="340"/>
        <n x="530"/>
      </t>
    </mdx>
    <mdx n="0" f="m">
      <t c="6">
        <n x="46"/>
        <n x="282"/>
        <n x="283"/>
        <n x="288"/>
        <n x="289"/>
        <n x="530"/>
      </t>
    </mdx>
    <mdx n="0" f="m">
      <t c="6">
        <n x="79"/>
        <n x="80"/>
        <n x="81"/>
        <n x="524"/>
        <n x="525"/>
        <n x="530"/>
      </t>
    </mdx>
    <mdx n="0" f="m">
      <t c="6">
        <n x="46"/>
        <n x="282"/>
        <n x="283"/>
        <n x="352"/>
        <n x="353"/>
        <n x="530"/>
      </t>
    </mdx>
    <mdx n="0" f="m">
      <t c="6">
        <n x="79"/>
        <n x="98"/>
        <n x="99"/>
        <n x="403"/>
        <n x="404"/>
        <n x="530"/>
      </t>
    </mdx>
    <mdx n="0" f="m">
      <t c="6">
        <n x="46"/>
        <n x="282"/>
        <n x="283"/>
        <n x="307"/>
        <n x="308"/>
        <n x="530"/>
      </t>
    </mdx>
    <mdx n="0" f="m">
      <t c="6">
        <n x="79"/>
        <n x="80"/>
        <n x="81"/>
        <n x="381"/>
        <n x="382"/>
        <n x="530"/>
      </t>
    </mdx>
    <mdx n="0" f="m">
      <t c="6">
        <n x="46"/>
        <n x="244"/>
        <n x="250"/>
        <n x="411"/>
        <n x="412"/>
        <n x="538"/>
      </t>
    </mdx>
    <mdx n="0" f="m">
      <t c="6">
        <n x="1"/>
        <n x="218"/>
        <n x="219"/>
        <n x="222"/>
        <n x="223"/>
        <n x="531"/>
      </t>
    </mdx>
    <mdx n="0" f="m">
      <t c="6">
        <n x="46"/>
        <n x="244"/>
        <n x="245"/>
        <n x="248"/>
        <n x="249"/>
        <n x="530"/>
      </t>
    </mdx>
    <mdx n="0" f="m">
      <t c="6">
        <n x="1"/>
        <n x="2"/>
        <n x="3"/>
        <n x="8"/>
        <n x="9"/>
        <n x="539"/>
      </t>
    </mdx>
    <mdx n="0" f="m">
      <t c="6">
        <n x="1"/>
        <n x="130"/>
        <n x="131"/>
        <n x="144"/>
        <n x="145"/>
        <n x="530"/>
      </t>
    </mdx>
    <mdx n="0" f="m">
      <t c="6">
        <n x="79"/>
        <n x="80"/>
        <n x="267"/>
        <n x="274"/>
        <n x="275"/>
        <n x="530"/>
      </t>
    </mdx>
    <mdx n="0" f="m">
      <t c="6">
        <n x="1"/>
        <n x="22"/>
        <n x="23"/>
        <n x="210"/>
        <n x="211"/>
        <n x="530"/>
      </t>
    </mdx>
    <mdx n="0" f="m">
      <t c="6">
        <n x="1"/>
        <n x="22"/>
        <n x="23"/>
        <n x="128"/>
        <n x="129"/>
        <n x="530"/>
      </t>
    </mdx>
    <mdx n="0" f="m">
      <t c="6">
        <n x="79"/>
        <n x="80"/>
        <n x="267"/>
        <n x="276"/>
        <n x="277"/>
        <n x="530"/>
      </t>
    </mdx>
    <mdx n="0" f="m">
      <t c="6">
        <n x="79"/>
        <n x="80"/>
        <n x="81"/>
        <n x="96"/>
        <n x="97"/>
        <n x="530"/>
      </t>
    </mdx>
    <mdx n="0" f="m">
      <t c="6">
        <n x="46"/>
        <n x="47"/>
        <n x="152"/>
        <n x="163"/>
        <n x="164"/>
        <n x="530"/>
      </t>
    </mdx>
    <mdx n="0" f="m">
      <t c="6">
        <n x="46"/>
        <n x="47"/>
        <n x="152"/>
        <n x="165"/>
        <n x="166"/>
        <n x="530"/>
      </t>
    </mdx>
    <mdx n="0" f="m">
      <t c="6">
        <n x="46"/>
        <n x="47"/>
        <n x="167"/>
        <n x="236"/>
        <n x="237"/>
        <n x="530"/>
      </t>
    </mdx>
    <mdx n="0" f="m">
      <t c="6">
        <n x="79"/>
        <n x="80"/>
        <n x="81"/>
        <n x="520"/>
        <n x="521"/>
        <n x="533"/>
      </t>
    </mdx>
    <mdx n="0" f="m">
      <t c="6">
        <n x="1"/>
        <n x="22"/>
        <n x="23"/>
        <n x="206"/>
        <n x="207"/>
        <n x="533"/>
      </t>
    </mdx>
    <mdx n="0" f="m">
      <t c="6">
        <n x="46"/>
        <n x="282"/>
        <n x="283"/>
        <n x="360"/>
        <n x="361"/>
        <n x="537"/>
      </t>
    </mdx>
    <mdx n="0" f="m">
      <t c="6">
        <n x="46"/>
        <n x="47"/>
        <n x="167"/>
        <n x="326"/>
        <n x="327"/>
        <n x="540"/>
      </t>
    </mdx>
    <mdx n="0" f="m">
      <t c="6">
        <n x="1"/>
        <n x="22"/>
        <n x="23"/>
        <n x="38"/>
        <n x="39"/>
        <n x="532"/>
      </t>
    </mdx>
    <mdx n="0" f="m">
      <t c="6">
        <n x="1"/>
        <n x="2"/>
        <n x="13"/>
        <n x="479"/>
        <n x="480"/>
        <n x="534"/>
      </t>
    </mdx>
    <mdx n="0" f="m">
      <t c="6">
        <n x="1"/>
        <n x="218"/>
        <n x="219"/>
        <n x="228"/>
        <n x="229"/>
        <n x="530"/>
      </t>
    </mdx>
    <mdx n="0" f="m">
      <t c="6">
        <n x="46"/>
        <n x="369"/>
        <n x="370"/>
        <n x="371"/>
        <n x="372"/>
        <n x="535"/>
      </t>
    </mdx>
    <mdx n="0" f="m">
      <t c="6">
        <n x="46"/>
        <n x="47"/>
        <n x="328"/>
        <n x="449"/>
        <n x="450"/>
        <n x="530"/>
      </t>
    </mdx>
    <mdx n="0" f="m">
      <t c="6">
        <n x="1"/>
        <n x="22"/>
        <n x="23"/>
        <n x="150"/>
        <n x="151"/>
        <n x="535"/>
      </t>
    </mdx>
    <mdx n="0" f="m">
      <t c="6">
        <n x="46"/>
        <n x="282"/>
        <n x="300"/>
        <n x="315"/>
        <n x="316"/>
        <n x="530"/>
      </t>
    </mdx>
    <mdx n="0" f="m">
      <t c="6">
        <n x="46"/>
        <n x="47"/>
        <n x="52"/>
        <n x="230"/>
        <n x="231"/>
        <n x="539"/>
      </t>
    </mdx>
    <mdx n="0" f="m">
      <t c="6">
        <n x="46"/>
        <n x="47"/>
        <n x="52"/>
        <n x="232"/>
        <n x="233"/>
        <n x="539"/>
      </t>
    </mdx>
    <mdx n="0" f="m">
      <t c="6">
        <n x="1"/>
        <n x="2"/>
        <n x="3"/>
        <n x="473"/>
        <n x="474"/>
        <n x="530"/>
      </t>
    </mdx>
    <mdx n="0" f="m">
      <t c="6">
        <n x="46"/>
        <n x="47"/>
        <n x="328"/>
        <n x="457"/>
        <n x="458"/>
        <n x="530"/>
      </t>
    </mdx>
    <mdx n="0" f="m">
      <t c="6">
        <n x="1"/>
        <n x="22"/>
        <n x="23"/>
        <n x="118"/>
        <n x="119"/>
        <n x="531"/>
      </t>
    </mdx>
    <mdx n="0" f="m">
      <t c="6">
        <n x="1"/>
        <n x="22"/>
        <n x="23"/>
        <n x="124"/>
        <n x="125"/>
        <n x="530"/>
      </t>
    </mdx>
    <mdx n="0" f="m">
      <t c="6">
        <n x="46"/>
        <n x="282"/>
        <n x="283"/>
        <n x="298"/>
        <n x="299"/>
        <n x="530"/>
      </t>
    </mdx>
    <mdx n="0" f="m">
      <t c="6">
        <n x="46"/>
        <n x="47"/>
        <n x="52"/>
        <n x="234"/>
        <n x="235"/>
        <n x="539"/>
      </t>
    </mdx>
    <mdx n="0" f="m">
      <t c="6">
        <n x="46"/>
        <n x="47"/>
        <n x="167"/>
        <n x="238"/>
        <n x="239"/>
        <n x="530"/>
      </t>
    </mdx>
    <mdx n="0" f="m">
      <t c="6">
        <n x="46"/>
        <n x="57"/>
        <n x="58"/>
        <n x="242"/>
        <n x="243"/>
        <n x="537"/>
      </t>
    </mdx>
    <mdx n="0" f="m">
      <t c="6">
        <n x="79"/>
        <n x="98"/>
        <n x="99"/>
        <n x="401"/>
        <n x="402"/>
        <n x="538"/>
      </t>
    </mdx>
    <mdx n="0" f="m">
      <t c="6">
        <n x="79"/>
        <n x="80"/>
        <n x="495"/>
        <n x="504"/>
        <n x="505"/>
        <n x="530"/>
      </t>
    </mdx>
    <mdx n="0" f="m">
      <t c="6">
        <n x="79"/>
        <n x="80"/>
        <n x="267"/>
        <n x="280"/>
        <n x="281"/>
        <n x="530"/>
      </t>
    </mdx>
    <mdx n="0" f="m">
      <t c="6">
        <n x="46"/>
        <n x="244"/>
        <n x="250"/>
        <n x="257"/>
        <n x="258"/>
        <n x="530"/>
      </t>
    </mdx>
    <mdx n="0" f="m">
      <t c="6">
        <n x="46"/>
        <n x="244"/>
        <n x="250"/>
        <n x="415"/>
        <n x="416"/>
        <n x="530"/>
      </t>
    </mdx>
    <mdx n="0" f="m">
      <t c="6">
        <n x="1"/>
        <n x="130"/>
        <n x="131"/>
        <n x="142"/>
        <n x="143"/>
        <n x="530"/>
      </t>
    </mdx>
    <mdx n="0" f="m">
      <t c="6">
        <n x="1"/>
        <n x="2"/>
        <n x="3"/>
        <n x="10"/>
        <n x="11"/>
        <n x="539"/>
      </t>
    </mdx>
    <mdx n="0" f="m">
      <t c="6">
        <n x="1"/>
        <n x="22"/>
        <n x="23"/>
        <n x="126"/>
        <n x="127"/>
        <n x="530"/>
      </t>
    </mdx>
    <mdx n="0" f="m">
      <t c="6">
        <n x="1"/>
        <n x="2"/>
        <n x="424"/>
        <n x="433"/>
        <n x="434"/>
        <n x="530"/>
      </t>
    </mdx>
    <mdx n="0" f="m">
      <t c="6">
        <n x="46"/>
        <n x="282"/>
        <n x="283"/>
        <n x="362"/>
        <n x="363"/>
        <n x="530"/>
      </t>
    </mdx>
    <mdx n="0" f="m">
      <t c="6">
        <n x="46"/>
        <n x="282"/>
        <n x="283"/>
        <n x="364"/>
        <n x="365"/>
        <n x="530"/>
      </t>
    </mdx>
    <mdx n="0" f="m">
      <t c="6">
        <n x="46"/>
        <n x="369"/>
        <n x="370"/>
        <n x="373"/>
        <n x="374"/>
        <n x="538"/>
      </t>
    </mdx>
    <mdx n="0" f="m">
      <t c="6">
        <n x="46"/>
        <n x="282"/>
        <n x="300"/>
        <n x="321"/>
        <n x="322"/>
        <n x="530"/>
      </t>
    </mdx>
    <mdx n="0" f="m">
      <t c="6">
        <n x="46"/>
        <n x="282"/>
        <n x="283"/>
        <n x="296"/>
        <n x="297"/>
        <n x="530"/>
      </t>
    </mdx>
    <mdx n="0" f="m">
      <t c="6">
        <n x="46"/>
        <n x="47"/>
        <n x="328"/>
        <n x="461"/>
        <n x="462"/>
        <n x="530"/>
      </t>
    </mdx>
    <mdx n="0" f="m">
      <t c="6">
        <n x="46"/>
        <n x="282"/>
        <n x="283"/>
        <n x="309"/>
        <n x="310"/>
        <n x="538"/>
      </t>
    </mdx>
    <mdx n="0" f="m">
      <t c="6">
        <n x="79"/>
        <n x="80"/>
        <n x="267"/>
        <n x="278"/>
        <n x="279"/>
        <n x="530"/>
      </t>
    </mdx>
    <mdx n="0" f="m">
      <t c="6">
        <n x="79"/>
        <n x="80"/>
        <n x="81"/>
        <n x="526"/>
        <n x="527"/>
        <n x="530"/>
      </t>
    </mdx>
    <mdx n="0" f="m">
      <t c="6">
        <n x="79"/>
        <n x="80"/>
        <n x="81"/>
        <n x="383"/>
        <n x="384"/>
        <n x="530"/>
      </t>
    </mdx>
    <mdx n="0" f="m">
      <t c="6">
        <n x="46"/>
        <n x="244"/>
        <n x="250"/>
        <n x="259"/>
        <n x="260"/>
        <n x="530"/>
      </t>
    </mdx>
    <mdx n="0" f="m">
      <t c="6">
        <n x="1"/>
        <n x="12"/>
        <n x="13"/>
        <n x="20"/>
        <n x="21"/>
        <n x="530"/>
      </t>
    </mdx>
    <mdx n="0" f="m">
      <t c="6">
        <n x="46"/>
        <n x="244"/>
        <n x="250"/>
        <n x="417"/>
        <n x="418"/>
        <n x="530"/>
      </t>
    </mdx>
    <mdx n="0" f="m">
      <t c="6">
        <n x="1"/>
        <n x="22"/>
        <n x="23"/>
        <n x="40"/>
        <n x="41"/>
        <n x="530"/>
      </t>
    </mdx>
    <mdx n="0" f="m">
      <t c="6">
        <n x="1"/>
        <n x="2"/>
        <n x="3"/>
        <n x="477"/>
        <n x="478"/>
        <n x="530"/>
      </t>
    </mdx>
    <mdx n="0" f="m">
      <t c="6">
        <n x="1"/>
        <n x="22"/>
        <n x="23"/>
        <n x="24"/>
        <n x="25"/>
        <n x="530"/>
      </t>
    </mdx>
    <mdx n="0" f="m">
      <t c="6">
        <n x="1"/>
        <n x="22"/>
        <n x="23"/>
        <n x="146"/>
        <n x="147"/>
        <n x="530"/>
      </t>
    </mdx>
    <mdx n="0" f="m">
      <t c="6">
        <n x="1"/>
        <n x="12"/>
        <n x="13"/>
        <n x="439"/>
        <n x="440"/>
        <n x="530"/>
      </t>
    </mdx>
    <mdx n="0" f="m">
      <t c="6">
        <n x="79"/>
        <n x="80"/>
        <n x="495"/>
        <n x="496"/>
        <n x="497"/>
        <n x="530"/>
      </t>
    </mdx>
    <mdx n="0" f="m">
      <t c="6">
        <n x="79"/>
        <n x="80"/>
        <n x="81"/>
        <n x="487"/>
        <n x="488"/>
        <n x="530"/>
      </t>
    </mdx>
    <mdx n="0" f="m">
      <t c="6">
        <n x="79"/>
        <n x="80"/>
        <n x="81"/>
        <n x="86"/>
        <n x="87"/>
        <n x="530"/>
      </t>
    </mdx>
    <mdx n="0" f="m">
      <t c="6">
        <n x="79"/>
        <n x="80"/>
        <n x="267"/>
        <n x="385"/>
        <n x="386"/>
        <n x="530"/>
      </t>
    </mdx>
    <mdx n="0" f="m">
      <t c="6">
        <n x="79"/>
        <n x="80"/>
        <n x="81"/>
        <n x="510"/>
        <n x="511"/>
        <n x="530"/>
      </t>
    </mdx>
    <mdx n="0" f="m">
      <t c="6">
        <n x="46"/>
        <n x="47"/>
        <n x="152"/>
        <n x="155"/>
        <n x="156"/>
        <n x="530"/>
      </t>
    </mdx>
    <mdx n="0" f="m">
      <t c="6">
        <n x="1"/>
        <n x="22"/>
        <n x="23"/>
        <n x="190"/>
        <n x="191"/>
        <n x="530"/>
      </t>
    </mdx>
    <mdx n="0" f="m">
      <t c="6">
        <n x="79"/>
        <n x="80"/>
        <n x="81"/>
        <n x="485"/>
        <n x="486"/>
        <n x="530"/>
      </t>
    </mdx>
    <mdx n="0" f="m">
      <t c="6">
        <n x="46"/>
        <n x="47"/>
        <n x="328"/>
        <n x="445"/>
        <n x="446"/>
        <n x="530"/>
      </t>
    </mdx>
    <mdx n="0" f="m">
      <t c="6">
        <n x="79"/>
        <n x="80"/>
        <n x="267"/>
        <n x="268"/>
        <n x="269"/>
        <n x="530"/>
      </t>
    </mdx>
    <mdx n="0" f="m">
      <t c="6">
        <n x="46"/>
        <n x="47"/>
        <n x="341"/>
        <n x="344"/>
        <n x="345"/>
        <n x="530"/>
      </t>
    </mdx>
    <mdx n="0" f="m">
      <t c="6">
        <n x="1"/>
        <n x="22"/>
        <n x="23"/>
        <n x="194"/>
        <n x="195"/>
        <n x="530"/>
      </t>
    </mdx>
    <mdx n="0" f="m">
      <t c="6">
        <n x="1"/>
        <n x="22"/>
        <n x="23"/>
        <n x="108"/>
        <n x="109"/>
        <n x="530"/>
      </t>
    </mdx>
    <mdx n="0" f="m">
      <t c="6">
        <n x="46"/>
        <n x="244"/>
        <n x="250"/>
        <n x="255"/>
        <n x="256"/>
        <n x="530"/>
      </t>
    </mdx>
    <mdx n="0" f="m">
      <t c="6">
        <n x="79"/>
        <n x="98"/>
        <n x="99"/>
        <n x="399"/>
        <n x="400"/>
        <n x="530"/>
      </t>
    </mdx>
    <mdx n="0" f="m">
      <t c="6">
        <n x="46"/>
        <n x="57"/>
        <n x="58"/>
        <n x="69"/>
        <n x="70"/>
        <n x="530"/>
      </t>
    </mdx>
    <mdx n="0" f="m">
      <t c="6">
        <n x="1"/>
        <n x="2"/>
        <n x="3"/>
        <n x="467"/>
        <n x="468"/>
        <n x="530"/>
      </t>
    </mdx>
    <mdx n="0" f="m">
      <t c="6">
        <n x="79"/>
        <n x="80"/>
        <n x="81"/>
        <n x="516"/>
        <n x="517"/>
        <n x="530"/>
      </t>
    </mdx>
    <mdx n="0" f="m">
      <t c="6">
        <n x="46"/>
        <n x="47"/>
        <n x="52"/>
        <n x="346"/>
        <n x="347"/>
        <n x="530"/>
      </t>
    </mdx>
    <mdx n="0" f="m">
      <t c="6">
        <n x="46"/>
        <n x="47"/>
        <n x="167"/>
        <n x="172"/>
        <n x="173"/>
        <n x="530"/>
      </t>
    </mdx>
    <mdx n="0" f="m">
      <t c="6">
        <n x="1"/>
        <n x="22"/>
        <n x="23"/>
        <n x="112"/>
        <n x="113"/>
        <n x="530"/>
      </t>
    </mdx>
    <mdx n="0" f="m">
      <t c="6">
        <n x="46"/>
        <n x="47"/>
        <n x="167"/>
        <n x="178"/>
        <n x="179"/>
        <n x="530"/>
      </t>
    </mdx>
    <mdx n="0" f="m">
      <t c="6">
        <n x="1"/>
        <n x="22"/>
        <n x="23"/>
        <n x="200"/>
        <n x="201"/>
        <n x="530"/>
      </t>
    </mdx>
    <mdx n="0" f="m">
      <t c="6">
        <n x="1"/>
        <n x="22"/>
        <n x="23"/>
        <n x="30"/>
        <n x="31"/>
        <n x="530"/>
      </t>
    </mdx>
    <mdx n="0" f="m">
      <t c="6">
        <n x="79"/>
        <n x="80"/>
        <n x="267"/>
        <n x="272"/>
        <n x="273"/>
        <n x="530"/>
      </t>
    </mdx>
    <mdx n="0" f="m">
      <t c="6">
        <n x="1"/>
        <n x="12"/>
        <n x="13"/>
        <n x="16"/>
        <n x="17"/>
        <n x="530"/>
      </t>
    </mdx>
    <mdx n="0" f="m">
      <t c="6">
        <n x="46"/>
        <n x="282"/>
        <n x="283"/>
        <n x="356"/>
        <n x="357"/>
        <n x="530"/>
      </t>
    </mdx>
    <mdx n="0" f="m">
      <t c="6">
        <n x="1"/>
        <n x="12"/>
        <n x="13"/>
        <n x="18"/>
        <n x="19"/>
        <n x="530"/>
      </t>
    </mdx>
    <mdx n="0" f="m">
      <t c="6">
        <n x="1"/>
        <n x="22"/>
        <n x="23"/>
        <n x="32"/>
        <n x="33"/>
        <n x="532"/>
      </t>
    </mdx>
    <mdx n="0" f="m">
      <t c="6">
        <n x="46"/>
        <n x="47"/>
        <n x="152"/>
        <n x="159"/>
        <n x="160"/>
        <n x="533"/>
      </t>
    </mdx>
    <mdx n="0" f="m">
      <t c="6">
        <n x="1"/>
        <n x="130"/>
        <n x="131"/>
        <n x="136"/>
        <n x="137"/>
        <n x="534"/>
      </t>
    </mdx>
    <mdx n="0" f="m">
      <t c="6">
        <n x="79"/>
        <n x="80"/>
        <n x="81"/>
        <n x="522"/>
        <n x="523"/>
        <n x="533"/>
      </t>
    </mdx>
    <mdx n="0" f="m">
      <t c="6">
        <n x="46"/>
        <n x="47"/>
        <n x="328"/>
        <n x="451"/>
        <n x="452"/>
        <n x="530"/>
      </t>
    </mdx>
    <mdx n="0" f="m">
      <t c="6">
        <n x="46"/>
        <n x="47"/>
        <n x="152"/>
        <n x="161"/>
        <n x="162"/>
        <n x="535"/>
      </t>
    </mdx>
    <mdx n="0" f="m">
      <t c="6">
        <n x="1"/>
        <n x="22"/>
        <n x="23"/>
        <n x="120"/>
        <n x="121"/>
        <n x="531"/>
      </t>
    </mdx>
    <mdx n="0" f="m">
      <t c="6">
        <n x="1"/>
        <n x="22"/>
        <n x="23"/>
        <n x="34"/>
        <n x="35"/>
        <n x="530"/>
      </t>
    </mdx>
    <mdx n="0" f="m">
      <t c="6">
        <n x="1"/>
        <n x="22"/>
        <n x="23"/>
        <n x="36"/>
        <n x="37"/>
        <n x="536"/>
      </t>
    </mdx>
    <mdx n="0" f="m">
      <t c="6">
        <n x="1"/>
        <n x="2"/>
        <n x="3"/>
        <n x="6"/>
        <n x="7"/>
        <n x="537"/>
      </t>
    </mdx>
    <mdx n="0" f="m">
      <t c="6">
        <n x="79"/>
        <n x="80"/>
        <n x="81"/>
        <n x="377"/>
        <n x="378"/>
        <n x="530"/>
      </t>
    </mdx>
    <mdx n="0" f="m">
      <t c="6">
        <n x="1"/>
        <n x="130"/>
        <n x="131"/>
        <n x="138"/>
        <n x="139"/>
        <n x="531"/>
      </t>
    </mdx>
    <mdx n="0" f="m">
      <t c="6">
        <n x="1"/>
        <n x="2"/>
        <n x="13"/>
        <n x="481"/>
        <n x="482"/>
        <n x="534"/>
      </t>
    </mdx>
    <mdx n="0" f="m">
      <t c="6">
        <n x="46"/>
        <n x="282"/>
        <n x="283"/>
        <n x="292"/>
        <n x="293"/>
        <n x="538"/>
      </t>
    </mdx>
    <mdx n="0" f="m">
      <t c="6">
        <n x="46"/>
        <n x="282"/>
        <n x="300"/>
        <n x="317"/>
        <n x="318"/>
        <n x="530"/>
      </t>
    </mdx>
    <mdx n="0" f="m">
      <t c="6">
        <n x="46"/>
        <n x="47"/>
        <n x="167"/>
        <n x="180"/>
        <n x="181"/>
        <n x="530"/>
      </t>
    </mdx>
    <mdx n="0" f="m">
      <t c="6">
        <n x="46"/>
        <n x="47"/>
        <n x="328"/>
        <n x="337"/>
        <n x="338"/>
        <n x="530"/>
      </t>
    </mdx>
    <mdx n="0" f="m">
      <t c="6">
        <n x="46"/>
        <n x="47"/>
        <n x="328"/>
        <n x="453"/>
        <n x="454"/>
        <n x="535"/>
      </t>
    </mdx>
    <mdx n="0" f="m">
      <t c="6">
        <n x="79"/>
        <n x="98"/>
        <n x="99"/>
        <n x="104"/>
        <n x="105"/>
        <n x="530"/>
      </t>
    </mdx>
    <mdx n="0" f="m">
      <t c="6">
        <n x="79"/>
        <n x="80"/>
        <n x="81"/>
        <n x="379"/>
        <n x="380"/>
        <n x="530"/>
      </t>
    </mdx>
    <mdx n="0" f="m">
      <t c="6">
        <n x="46"/>
        <n x="47"/>
        <n x="328"/>
        <n x="463"/>
        <n x="464"/>
        <n x="530"/>
      </t>
    </mdx>
    <mdx n="0" f="m">
      <t c="6">
        <n x="46"/>
        <n x="244"/>
        <n x="250"/>
        <n x="409"/>
        <n x="410"/>
        <n x="530"/>
      </t>
    </mdx>
    <mdx n="0" f="m">
      <t c="6">
        <n x="79"/>
        <n x="80"/>
        <n x="81"/>
        <n x="528"/>
        <n x="529"/>
        <n x="530"/>
      </t>
    </mdx>
    <mdx n="0" f="m">
      <t c="6">
        <n x="46"/>
        <n x="244"/>
        <n x="250"/>
        <n x="261"/>
        <n x="262"/>
        <n x="530"/>
      </t>
    </mdx>
    <mdx n="0" f="m">
      <t c="6">
        <n x="46"/>
        <n x="244"/>
        <n x="250"/>
        <n x="413"/>
        <n x="414"/>
        <n x="530"/>
      </t>
    </mdx>
    <mdx n="0" f="m">
      <t c="6">
        <n x="1"/>
        <n x="2"/>
        <n x="3"/>
        <n x="475"/>
        <n x="476"/>
        <n x="530"/>
      </t>
    </mdx>
    <mdx n="0" f="m">
      <t c="6">
        <n x="1"/>
        <n x="2"/>
        <n x="424"/>
        <n x="431"/>
        <n x="432"/>
        <n x="530"/>
      </t>
    </mdx>
    <mdx n="0" f="m">
      <t c="6">
        <n x="1"/>
        <n x="212"/>
        <n x="213"/>
        <n x="216"/>
        <n x="217"/>
        <n x="530"/>
      </t>
    </mdx>
    <mdx n="0" f="m">
      <t c="6">
        <n x="1"/>
        <n x="22"/>
        <n x="23"/>
        <n x="441"/>
        <n x="442"/>
        <n x="530"/>
      </t>
    </mdx>
    <mdx n="0" f="m">
      <t c="6">
        <n x="79"/>
        <n x="80"/>
        <n x="267"/>
        <n x="393"/>
        <n x="394"/>
        <n x="530"/>
      </t>
    </mdx>
    <mdx n="0" f="m">
      <t c="6">
        <n x="46"/>
        <n x="47"/>
        <n x="341"/>
        <n x="342"/>
        <n x="343"/>
        <n x="530"/>
      </t>
    </mdx>
  </mdxMetadata>
  <valueMetadata count="24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</valueMetadata>
</metadata>
</file>

<file path=xl/sharedStrings.xml><?xml version="1.0" encoding="utf-8"?>
<sst xmlns="http://schemas.openxmlformats.org/spreadsheetml/2006/main" count="13278" uniqueCount="1602">
  <si>
    <t>Address</t>
  </si>
  <si>
    <t>City</t>
  </si>
  <si>
    <t>State</t>
  </si>
  <si>
    <t>121</t>
  </si>
  <si>
    <t>1000 Kiely</t>
  </si>
  <si>
    <t>Santa Clara</t>
  </si>
  <si>
    <t>CA</t>
  </si>
  <si>
    <t>023</t>
  </si>
  <si>
    <t>101 San Fernando</t>
  </si>
  <si>
    <t>San Jose</t>
  </si>
  <si>
    <t>024</t>
  </si>
  <si>
    <t>101 San Fernando Commercial</t>
  </si>
  <si>
    <t>463</t>
  </si>
  <si>
    <t>360 Residences</t>
  </si>
  <si>
    <t>113</t>
  </si>
  <si>
    <t>416 on Broadway</t>
  </si>
  <si>
    <t>Glendale</t>
  </si>
  <si>
    <t>114</t>
  </si>
  <si>
    <t>416 on Broadway Commercial</t>
  </si>
  <si>
    <t>lax1249</t>
  </si>
  <si>
    <t>5600 Wilshire</t>
  </si>
  <si>
    <t>Los Angeles</t>
  </si>
  <si>
    <t>408</t>
  </si>
  <si>
    <t>8th &amp; Hope</t>
  </si>
  <si>
    <t>465</t>
  </si>
  <si>
    <t>8th &amp; Republican</t>
  </si>
  <si>
    <t>Seattle</t>
  </si>
  <si>
    <t>WA</t>
  </si>
  <si>
    <t>382</t>
  </si>
  <si>
    <t>Agora at South Main</t>
  </si>
  <si>
    <t>Walnut Creek</t>
  </si>
  <si>
    <t>lax1245</t>
  </si>
  <si>
    <t>Alessio</t>
  </si>
  <si>
    <t>210</t>
  </si>
  <si>
    <t>Allegro</t>
  </si>
  <si>
    <t>11945 Magnolia Boulevard</t>
  </si>
  <si>
    <t>Valley Village</t>
  </si>
  <si>
    <t>san1271</t>
  </si>
  <si>
    <t>Allure at Scripps Ranch</t>
  </si>
  <si>
    <t>San Diego</t>
  </si>
  <si>
    <t>Alpine</t>
  </si>
  <si>
    <t>028</t>
  </si>
  <si>
    <t>Alpine Village</t>
  </si>
  <si>
    <t>2055 Arnold Way</t>
  </si>
  <si>
    <t>029</t>
  </si>
  <si>
    <t>Alpine Village Commercial</t>
  </si>
  <si>
    <t>042</t>
  </si>
  <si>
    <t>Anaheim</t>
  </si>
  <si>
    <t>246</t>
  </si>
  <si>
    <t>Annaliese</t>
  </si>
  <si>
    <t>407</t>
  </si>
  <si>
    <t>Apex</t>
  </si>
  <si>
    <t>Milpitas</t>
  </si>
  <si>
    <t>lax1276</t>
  </si>
  <si>
    <t>Aqua at Marina Del Rey</t>
  </si>
  <si>
    <t>Marina Del Rey</t>
  </si>
  <si>
    <t>351</t>
  </si>
  <si>
    <t>Oxnard</t>
  </si>
  <si>
    <t>336</t>
  </si>
  <si>
    <t>Ascent</t>
  </si>
  <si>
    <t>12062 Slater Avenue NE</t>
  </si>
  <si>
    <t>Kirkland</t>
  </si>
  <si>
    <t>422</t>
  </si>
  <si>
    <t>Ashton Sherman Village</t>
  </si>
  <si>
    <t>12629 Riverside Drive</t>
  </si>
  <si>
    <t>415</t>
  </si>
  <si>
    <t>sfo1244</t>
  </si>
  <si>
    <t>Avenue 64</t>
  </si>
  <si>
    <t>6399 Christie Avenue</t>
  </si>
  <si>
    <t>Emeryville</t>
  </si>
  <si>
    <t>197</t>
  </si>
  <si>
    <t>Avery</t>
  </si>
  <si>
    <t>pnw1260</t>
  </si>
  <si>
    <t>Aviara</t>
  </si>
  <si>
    <t>2441 76th Avenue SE</t>
  </si>
  <si>
    <t>Mercer Island</t>
  </si>
  <si>
    <t>027</t>
  </si>
  <si>
    <t>22222 Victory Boulevard</t>
  </si>
  <si>
    <t>Woodland Hills</t>
  </si>
  <si>
    <t>223</t>
  </si>
  <si>
    <t>Axis 2300</t>
  </si>
  <si>
    <t>Irvine</t>
  </si>
  <si>
    <t>pnw1127</t>
  </si>
  <si>
    <t>Ballinger Commons</t>
  </si>
  <si>
    <t>219</t>
  </si>
  <si>
    <t>145</t>
  </si>
  <si>
    <t>2000 Shoreline Drive</t>
  </si>
  <si>
    <t>San Ramon</t>
  </si>
  <si>
    <t>pnw1246</t>
  </si>
  <si>
    <t>Belcarra</t>
  </si>
  <si>
    <t>10688 NE 10th Street</t>
  </si>
  <si>
    <t>Bellevue</t>
  </si>
  <si>
    <t>011</t>
  </si>
  <si>
    <t>Bella Villagio</t>
  </si>
  <si>
    <t>pnw1162</t>
  </si>
  <si>
    <t>BellCentre</t>
  </si>
  <si>
    <t>036</t>
  </si>
  <si>
    <t>Bellerive</t>
  </si>
  <si>
    <t>1929 Beloit Avenue</t>
  </si>
  <si>
    <t>182</t>
  </si>
  <si>
    <t>Belmont Lucas House</t>
  </si>
  <si>
    <t>187</t>
  </si>
  <si>
    <t>Belmont Station</t>
  </si>
  <si>
    <t>031</t>
  </si>
  <si>
    <t>Belmont</t>
  </si>
  <si>
    <t>245</t>
  </si>
  <si>
    <t>San Francisco</t>
  </si>
  <si>
    <t>115</t>
  </si>
  <si>
    <t>san1231</t>
  </si>
  <si>
    <t>Bernardo Crest</t>
  </si>
  <si>
    <t>11820 Paseo Lucido</t>
  </si>
  <si>
    <t>033</t>
  </si>
  <si>
    <t>Bonita Cedars</t>
  </si>
  <si>
    <t>5155 Cedarwood Road</t>
  </si>
  <si>
    <t>Bonita</t>
  </si>
  <si>
    <t>pnw1126</t>
  </si>
  <si>
    <t>Bothell Ridge</t>
  </si>
  <si>
    <t>Bothell</t>
  </si>
  <si>
    <t>146</t>
  </si>
  <si>
    <t>Fremont</t>
  </si>
  <si>
    <t>231</t>
  </si>
  <si>
    <t>Santa Ana</t>
  </si>
  <si>
    <t>355</t>
  </si>
  <si>
    <t>Briarwood</t>
  </si>
  <si>
    <t>4200 Bay Street</t>
  </si>
  <si>
    <t>475</t>
  </si>
  <si>
    <t>36826 Cherry Street</t>
  </si>
  <si>
    <t>Newark</t>
  </si>
  <si>
    <t>124</t>
  </si>
  <si>
    <t>lax1233</t>
  </si>
  <si>
    <t>Bridgeport Coast</t>
  </si>
  <si>
    <t>24100 Newhall Ranch Road</t>
  </si>
  <si>
    <t>Santa Clarita</t>
  </si>
  <si>
    <t>035</t>
  </si>
  <si>
    <t>034</t>
  </si>
  <si>
    <t>Renton</t>
  </si>
  <si>
    <t>030</t>
  </si>
  <si>
    <t>Bristol Commons</t>
  </si>
  <si>
    <t>Sunnyvale</t>
  </si>
  <si>
    <t>220</t>
  </si>
  <si>
    <t>Brookside Oaks</t>
  </si>
  <si>
    <t>1651 Belleville Way</t>
  </si>
  <si>
    <t>032</t>
  </si>
  <si>
    <t>234 South Figueroa Street</t>
  </si>
  <si>
    <t>051</t>
  </si>
  <si>
    <t>921 Paseo Camarillo</t>
  </si>
  <si>
    <t>Camarillo</t>
  </si>
  <si>
    <t>san1134</t>
  </si>
  <si>
    <t>Cambridge Park</t>
  </si>
  <si>
    <t>3394 Daley Center Drive</t>
  </si>
  <si>
    <t>292</t>
  </si>
  <si>
    <t>105 Camino Ruiz</t>
  </si>
  <si>
    <t>Canyon Creek</t>
  </si>
  <si>
    <t>302</t>
  </si>
  <si>
    <t>050</t>
  </si>
  <si>
    <t>Canyon Pointe</t>
  </si>
  <si>
    <t>1630 228th Street SE</t>
  </si>
  <si>
    <t>225</t>
  </si>
  <si>
    <t>Capri at Sunny Hills</t>
  </si>
  <si>
    <t>2341 Daphne Place</t>
  </si>
  <si>
    <t>Fullerton</t>
  </si>
  <si>
    <t>275</t>
  </si>
  <si>
    <t>san1142</t>
  </si>
  <si>
    <t>Carmel Creek</t>
  </si>
  <si>
    <t>11724 Carmel Creek Road</t>
  </si>
  <si>
    <t>san1190</t>
  </si>
  <si>
    <t>Carmel Landing</t>
  </si>
  <si>
    <t>11505 Windcrest Lane</t>
  </si>
  <si>
    <t>san1258</t>
  </si>
  <si>
    <t>Carmel Summit</t>
  </si>
  <si>
    <t>11795 Stoney Peak Drive</t>
  </si>
  <si>
    <t>041</t>
  </si>
  <si>
    <t>7000 132nd Place SE</t>
  </si>
  <si>
    <t>Newcastle</t>
  </si>
  <si>
    <t>lax1255</t>
  </si>
  <si>
    <t>Catalina Gardens</t>
  </si>
  <si>
    <t>333 South Catalina Street</t>
  </si>
  <si>
    <t>040</t>
  </si>
  <si>
    <t>Goleta</t>
  </si>
  <si>
    <t>003</t>
  </si>
  <si>
    <t>Cedar Terrace</t>
  </si>
  <si>
    <t>137</t>
  </si>
  <si>
    <t>CentrePointe</t>
  </si>
  <si>
    <t>6540 Friars Road</t>
  </si>
  <si>
    <t>198</t>
  </si>
  <si>
    <t>Century Towers</t>
  </si>
  <si>
    <t>1729 North First Street</t>
  </si>
  <si>
    <t>013</t>
  </si>
  <si>
    <t>Santa Cruz</t>
  </si>
  <si>
    <t>012</t>
  </si>
  <si>
    <t>sfo1161</t>
  </si>
  <si>
    <t>City Centre</t>
  </si>
  <si>
    <t>22800 Meridian Drive</t>
  </si>
  <si>
    <t>Hayward</t>
  </si>
  <si>
    <t>172</t>
  </si>
  <si>
    <t>pnw1119</t>
  </si>
  <si>
    <t>Citywalk</t>
  </si>
  <si>
    <t>328</t>
  </si>
  <si>
    <t>403</t>
  </si>
  <si>
    <t>Collins on Pine</t>
  </si>
  <si>
    <t>404</t>
  </si>
  <si>
    <t>Collins on Pine Commercial</t>
  </si>
  <si>
    <t>368</t>
  </si>
  <si>
    <t>Connolly Station</t>
  </si>
  <si>
    <t>Dublin</t>
  </si>
  <si>
    <t>006</t>
  </si>
  <si>
    <t>9536 NE 120th Street</t>
  </si>
  <si>
    <t>lax1209</t>
  </si>
  <si>
    <t>Cortesia</t>
  </si>
  <si>
    <t>29752 Melinda Road</t>
  </si>
  <si>
    <t>056</t>
  </si>
  <si>
    <t>Country Villas</t>
  </si>
  <si>
    <t>283 Douglas Drive</t>
  </si>
  <si>
    <t>Oceanside</t>
  </si>
  <si>
    <t>009</t>
  </si>
  <si>
    <t>Courtyard Off Main</t>
  </si>
  <si>
    <t>136 102nd Avenue SE</t>
  </si>
  <si>
    <t>010</t>
  </si>
  <si>
    <t>Courtyard Off Main Commercial</t>
  </si>
  <si>
    <t>sfo1131</t>
  </si>
  <si>
    <t>Crow Canyon</t>
  </si>
  <si>
    <t>1700 Promontory Lane</t>
  </si>
  <si>
    <t>276</t>
  </si>
  <si>
    <t>sfo4014</t>
  </si>
  <si>
    <t>Deer Valley</t>
  </si>
  <si>
    <t>2500 Deer Valley Road</t>
  </si>
  <si>
    <t>San Rafael</t>
  </si>
  <si>
    <t>162</t>
  </si>
  <si>
    <t>Delano</t>
  </si>
  <si>
    <t>7805 170th Place NE</t>
  </si>
  <si>
    <t>Redmond</t>
  </si>
  <si>
    <t>059</t>
  </si>
  <si>
    <t>Derian Office Building</t>
  </si>
  <si>
    <t>17461 Derian Avenue</t>
  </si>
  <si>
    <t>058</t>
  </si>
  <si>
    <t>Hemet</t>
  </si>
  <si>
    <t>402</t>
  </si>
  <si>
    <t>Domain</t>
  </si>
  <si>
    <t>299</t>
  </si>
  <si>
    <t>Domaine</t>
  </si>
  <si>
    <t>2483 Birch Avenue North</t>
  </si>
  <si>
    <t>295</t>
  </si>
  <si>
    <t>020</t>
  </si>
  <si>
    <t>406</t>
  </si>
  <si>
    <t>11200 NE 11th Street</t>
  </si>
  <si>
    <t>lax1232</t>
  </si>
  <si>
    <t>Emerald Pointe</t>
  </si>
  <si>
    <t>Diamond Bar</t>
  </si>
  <si>
    <t>066</t>
  </si>
  <si>
    <t>Emerald Ridge</t>
  </si>
  <si>
    <t>423</t>
  </si>
  <si>
    <t>Emerson Valley Village</t>
  </si>
  <si>
    <t>12000 Riverside Drive</t>
  </si>
  <si>
    <t>362</t>
  </si>
  <si>
    <t>lax1234</t>
  </si>
  <si>
    <t>Enclave at Town Square</t>
  </si>
  <si>
    <t>11475 Central Avenue</t>
  </si>
  <si>
    <t>Chino</t>
  </si>
  <si>
    <t>418</t>
  </si>
  <si>
    <t>Enso</t>
  </si>
  <si>
    <t>175 Baypointe Parkway</t>
  </si>
  <si>
    <t>365</t>
  </si>
  <si>
    <t>600 Epic Way</t>
  </si>
  <si>
    <t>san1101</t>
  </si>
  <si>
    <t>Esplanade</t>
  </si>
  <si>
    <t>226</t>
  </si>
  <si>
    <t>227</t>
  </si>
  <si>
    <t>Esplanade Commercial</t>
  </si>
  <si>
    <t>063</t>
  </si>
  <si>
    <t>Evergreen Heights</t>
  </si>
  <si>
    <t>12233 NE 131st Way</t>
  </si>
  <si>
    <t>194</t>
  </si>
  <si>
    <t>Expo</t>
  </si>
  <si>
    <t>118 Republican Street</t>
  </si>
  <si>
    <t>221</t>
  </si>
  <si>
    <t>Expo Commercial</t>
  </si>
  <si>
    <t>239</t>
  </si>
  <si>
    <t>Fairhaven Apartments</t>
  </si>
  <si>
    <t>068</t>
  </si>
  <si>
    <t>48 1/2 Pine Valley Lane</t>
  </si>
  <si>
    <t>Newport Beach</t>
  </si>
  <si>
    <t>229</t>
  </si>
  <si>
    <t>Fairwood Pond</t>
  </si>
  <si>
    <t>14700 SE Petrovitsky Road</t>
  </si>
  <si>
    <t>069</t>
  </si>
  <si>
    <t>Foothill Commons</t>
  </si>
  <si>
    <t>073</t>
  </si>
  <si>
    <t>Foothill/Twin Creeks</t>
  </si>
  <si>
    <t>074</t>
  </si>
  <si>
    <t>420</t>
  </si>
  <si>
    <t>Form 15</t>
  </si>
  <si>
    <t>sfo1130</t>
  </si>
  <si>
    <t>Foster's Landing</t>
  </si>
  <si>
    <t>700 Bounty Drive</t>
  </si>
  <si>
    <t>Foster City</t>
  </si>
  <si>
    <t>070</t>
  </si>
  <si>
    <t>Fountain Court</t>
  </si>
  <si>
    <t>071</t>
  </si>
  <si>
    <t>Fountain Park</t>
  </si>
  <si>
    <t>13141 Fountain Park Drive</t>
  </si>
  <si>
    <t>Playa Vista</t>
  </si>
  <si>
    <t>072</t>
  </si>
  <si>
    <t>Fountain Park Commercial</t>
  </si>
  <si>
    <t>sfo1274</t>
  </si>
  <si>
    <t>Fountains at River Oaks</t>
  </si>
  <si>
    <t>373 River Oaks Circle</t>
  </si>
  <si>
    <t>180</t>
  </si>
  <si>
    <t>Fourth &amp; U</t>
  </si>
  <si>
    <t>2020 Fourth Street</t>
  </si>
  <si>
    <t>Berkeley</t>
  </si>
  <si>
    <t>181</t>
  </si>
  <si>
    <t>Fourth &amp; U Commercial</t>
  </si>
  <si>
    <t>247</t>
  </si>
  <si>
    <t>248</t>
  </si>
  <si>
    <t>Fox Plaza Commercial</t>
  </si>
  <si>
    <t>498</t>
  </si>
  <si>
    <t>4863 Willow Road</t>
  </si>
  <si>
    <t>Pleasanton</t>
  </si>
  <si>
    <t>388</t>
  </si>
  <si>
    <t>389</t>
  </si>
  <si>
    <t>171</t>
  </si>
  <si>
    <t>Pasadena</t>
  </si>
  <si>
    <t>087</t>
  </si>
  <si>
    <t>279</t>
  </si>
  <si>
    <t>298</t>
  </si>
  <si>
    <t>386</t>
  </si>
  <si>
    <t>Haver Hill</t>
  </si>
  <si>
    <t>3100 East Yorba Linda Boulevard</t>
  </si>
  <si>
    <t>173</t>
  </si>
  <si>
    <t>083</t>
  </si>
  <si>
    <t>5065 Hidden Park Court</t>
  </si>
  <si>
    <t>Simi Valley</t>
  </si>
  <si>
    <t>019</t>
  </si>
  <si>
    <t>Issaquah</t>
  </si>
  <si>
    <t>007</t>
  </si>
  <si>
    <t>Highridge</t>
  </si>
  <si>
    <t>28125 Peacock Ridge Drive</t>
  </si>
  <si>
    <t>093</t>
  </si>
  <si>
    <t>1800 West Hillcrest Drive</t>
  </si>
  <si>
    <t>Newbury Park</t>
  </si>
  <si>
    <t>473</t>
  </si>
  <si>
    <t>La Habra</t>
  </si>
  <si>
    <t>082</t>
  </si>
  <si>
    <t>313</t>
  </si>
  <si>
    <t>3500 Edison Street</t>
  </si>
  <si>
    <t>San Mateo</t>
  </si>
  <si>
    <t>303</t>
  </si>
  <si>
    <t>Hope Ranch</t>
  </si>
  <si>
    <t>Santa Barbara</t>
  </si>
  <si>
    <t>080</t>
  </si>
  <si>
    <t>Huntington Beach</t>
  </si>
  <si>
    <t>084</t>
  </si>
  <si>
    <t>Inglenook Court</t>
  </si>
  <si>
    <t>14220 Juanita Drive NE</t>
  </si>
  <si>
    <t>Hollywood</t>
  </si>
  <si>
    <t>215</t>
  </si>
  <si>
    <t>Joule</t>
  </si>
  <si>
    <t>222</t>
  </si>
  <si>
    <t>086</t>
  </si>
  <si>
    <t>Kings Road</t>
  </si>
  <si>
    <t>sfo1282</t>
  </si>
  <si>
    <t>Lafayette Highlands</t>
  </si>
  <si>
    <t>1076 Carol Lane</t>
  </si>
  <si>
    <t>Lafayette</t>
  </si>
  <si>
    <t>sfo1138</t>
  </si>
  <si>
    <t>2717 South Norfolk Street</t>
  </si>
  <si>
    <t>141</t>
  </si>
  <si>
    <t>1110 164th Street SE</t>
  </si>
  <si>
    <t>Mill Creek</t>
  </si>
  <si>
    <t>sfo1267</t>
  </si>
  <si>
    <t>Lawrence Station</t>
  </si>
  <si>
    <t>1271 Lawrence Station Road</t>
  </si>
  <si>
    <t>116</t>
  </si>
  <si>
    <t>089</t>
  </si>
  <si>
    <t>158</t>
  </si>
  <si>
    <t>Ventura</t>
  </si>
  <si>
    <t>358</t>
  </si>
  <si>
    <t>Madrid</t>
  </si>
  <si>
    <t>333</t>
  </si>
  <si>
    <t>Magnolia Square</t>
  </si>
  <si>
    <t>103</t>
  </si>
  <si>
    <t>Long Beach</t>
  </si>
  <si>
    <t>098</t>
  </si>
  <si>
    <t>094</t>
  </si>
  <si>
    <t>Marina Cove</t>
  </si>
  <si>
    <t>102</t>
  </si>
  <si>
    <t>Mariners Place</t>
  </si>
  <si>
    <t>490</t>
  </si>
  <si>
    <t>Marquis</t>
  </si>
  <si>
    <t>582</t>
  </si>
  <si>
    <t>096</t>
  </si>
  <si>
    <t>474</t>
  </si>
  <si>
    <t>1733 Cochran Street</t>
  </si>
  <si>
    <t>091</t>
  </si>
  <si>
    <t>106</t>
  </si>
  <si>
    <t>Mesa Village</t>
  </si>
  <si>
    <t>332</t>
  </si>
  <si>
    <t>419</t>
  </si>
  <si>
    <t>Mio</t>
  </si>
  <si>
    <t>108</t>
  </si>
  <si>
    <t>10360 Maya Linda Road</t>
  </si>
  <si>
    <t>092</t>
  </si>
  <si>
    <t>117</t>
  </si>
  <si>
    <t>Miracle Mile</t>
  </si>
  <si>
    <t>100</t>
  </si>
  <si>
    <t>Mission Hills</t>
  </si>
  <si>
    <t>264 Rancho Del Oro Drive</t>
  </si>
  <si>
    <t>sfo1132</t>
  </si>
  <si>
    <t>Mission Peaks</t>
  </si>
  <si>
    <t>1401 Red Hawk Circle</t>
  </si>
  <si>
    <t>sfo1205</t>
  </si>
  <si>
    <t>Mission Peaks II</t>
  </si>
  <si>
    <t>39451 Gallaudet Drive</t>
  </si>
  <si>
    <t>san1100</t>
  </si>
  <si>
    <t>Montanosa</t>
  </si>
  <si>
    <t>11012 Camino Playa Carmel</t>
  </si>
  <si>
    <t>109</t>
  </si>
  <si>
    <t>128</t>
  </si>
  <si>
    <t>Montebello</t>
  </si>
  <si>
    <t>232</t>
  </si>
  <si>
    <t>Montejo Apartments</t>
  </si>
  <si>
    <t>12901 Dale Street</t>
  </si>
  <si>
    <t>Garden Grove</t>
  </si>
  <si>
    <t>150</t>
  </si>
  <si>
    <t>1018 Kelp Lane</t>
  </si>
  <si>
    <t>374</t>
  </si>
  <si>
    <t>104</t>
  </si>
  <si>
    <t>211</t>
  </si>
  <si>
    <t>Muse</t>
  </si>
  <si>
    <t>North Hollywood</t>
  </si>
  <si>
    <t>212</t>
  </si>
  <si>
    <t>Muse Commercial</t>
  </si>
  <si>
    <t>sfo1272</t>
  </si>
  <si>
    <t>Museum Park</t>
  </si>
  <si>
    <t>484</t>
  </si>
  <si>
    <t>Ohlone Block B</t>
  </si>
  <si>
    <t>345</t>
  </si>
  <si>
    <t>One South Market</t>
  </si>
  <si>
    <t>359</t>
  </si>
  <si>
    <t>Pacific Electric Lofts</t>
  </si>
  <si>
    <t>144</t>
  </si>
  <si>
    <t>412</t>
  </si>
  <si>
    <t>405</t>
  </si>
  <si>
    <t>3700 Beacon Avenue</t>
  </si>
  <si>
    <t>371</t>
  </si>
  <si>
    <t>Park 20</t>
  </si>
  <si>
    <t>061</t>
  </si>
  <si>
    <t>Park Catalina</t>
  </si>
  <si>
    <t>pnw1159</t>
  </si>
  <si>
    <t>Park Highland</t>
  </si>
  <si>
    <t>111</t>
  </si>
  <si>
    <t>22500 SE 56th Street</t>
  </si>
  <si>
    <t>lax1251</t>
  </si>
  <si>
    <t>Park Viridian</t>
  </si>
  <si>
    <t>118</t>
  </si>
  <si>
    <t>Park West</t>
  </si>
  <si>
    <t>1201 Funston Avenue</t>
  </si>
  <si>
    <t>lax4004</t>
  </si>
  <si>
    <t>Parkside Court</t>
  </si>
  <si>
    <t>4200 West 1st Street</t>
  </si>
  <si>
    <t>pnw1105</t>
  </si>
  <si>
    <t>Parkwood at Mill Creek</t>
  </si>
  <si>
    <t>110</t>
  </si>
  <si>
    <t>5980 Bixby Village Drive</t>
  </si>
  <si>
    <t>361</t>
  </si>
  <si>
    <t>055</t>
  </si>
  <si>
    <t>Piedmont</t>
  </si>
  <si>
    <t>15309 NE 13th Place</t>
  </si>
  <si>
    <t>112</t>
  </si>
  <si>
    <t>3980 Telegraph Road</t>
  </si>
  <si>
    <t>lax1199</t>
  </si>
  <si>
    <t>Pinnacle at Fullerton</t>
  </si>
  <si>
    <t>229 East Commonwealth Avenue</t>
  </si>
  <si>
    <t>lax1166</t>
  </si>
  <si>
    <t>Pinnacle at MacArthur Place</t>
  </si>
  <si>
    <t>san1193</t>
  </si>
  <si>
    <t>1310 Santa Rita Drive</t>
  </si>
  <si>
    <t>Chula Vista</t>
  </si>
  <si>
    <t>lax1201</t>
  </si>
  <si>
    <t>Pinnacle at Talega</t>
  </si>
  <si>
    <t>120 Calle Amistad</t>
  </si>
  <si>
    <t>San Clemente</t>
  </si>
  <si>
    <t>pnw1191</t>
  </si>
  <si>
    <t>Pinnacle on Lake Washington</t>
  </si>
  <si>
    <t>pnw1163</t>
  </si>
  <si>
    <t>Pinnacle Sonata</t>
  </si>
  <si>
    <t>23940 40th Drive SE</t>
  </si>
  <si>
    <t>161</t>
  </si>
  <si>
    <t>19920 Olivewood Street</t>
  </si>
  <si>
    <t>Cupertino</t>
  </si>
  <si>
    <t>581</t>
  </si>
  <si>
    <t>Radius</t>
  </si>
  <si>
    <t>Redwood City</t>
  </si>
  <si>
    <t>354</t>
  </si>
  <si>
    <t>Redmond Hill</t>
  </si>
  <si>
    <t>6110 186th Place NE</t>
  </si>
  <si>
    <t>130</t>
  </si>
  <si>
    <t>Reed Square</t>
  </si>
  <si>
    <t>1070 Reed Avenue</t>
  </si>
  <si>
    <t>018</t>
  </si>
  <si>
    <t>Encino</t>
  </si>
  <si>
    <t>387</t>
  </si>
  <si>
    <t>Regency at Mountain View</t>
  </si>
  <si>
    <t>333 Escuela Avenue</t>
  </si>
  <si>
    <t>Mountain View</t>
  </si>
  <si>
    <t>lax1239</t>
  </si>
  <si>
    <t>Regency Palm Court</t>
  </si>
  <si>
    <t>Oakland</t>
  </si>
  <si>
    <t>lax1242</t>
  </si>
  <si>
    <t>Renaissance at Uptown Orange</t>
  </si>
  <si>
    <t>Orange</t>
  </si>
  <si>
    <t>352</t>
  </si>
  <si>
    <t>Reveal</t>
  </si>
  <si>
    <t>21201 Kittridge Street</t>
  </si>
  <si>
    <t>357</t>
  </si>
  <si>
    <t>Riley Square</t>
  </si>
  <si>
    <t>3707 Poinciana Drive</t>
  </si>
  <si>
    <t>224</t>
  </si>
  <si>
    <t>Sage at Cupertino</t>
  </si>
  <si>
    <t>175 Calvert Drive</t>
  </si>
  <si>
    <t>133</t>
  </si>
  <si>
    <t>2207 227th Street SE</t>
  </si>
  <si>
    <t>134</t>
  </si>
  <si>
    <t>Sammamish View</t>
  </si>
  <si>
    <t>16160 SE Eastgate Way</t>
  </si>
  <si>
    <t>127</t>
  </si>
  <si>
    <t>San Marcos</t>
  </si>
  <si>
    <t>2601 Hilltop Drive</t>
  </si>
  <si>
    <t>Richmond</t>
  </si>
  <si>
    <t>195</t>
  </si>
  <si>
    <t>413</t>
  </si>
  <si>
    <t>078</t>
  </si>
  <si>
    <t>Santee Court</t>
  </si>
  <si>
    <t>079</t>
  </si>
  <si>
    <t>Santee Court Commercial</t>
  </si>
  <si>
    <t>131</t>
  </si>
  <si>
    <t>Shadow Point</t>
  </si>
  <si>
    <t>Spring Valley</t>
  </si>
  <si>
    <t>pnw1107</t>
  </si>
  <si>
    <t>Shadowbrook</t>
  </si>
  <si>
    <t>022</t>
  </si>
  <si>
    <t>Skyline</t>
  </si>
  <si>
    <t>338</t>
  </si>
  <si>
    <t>Slater 116</t>
  </si>
  <si>
    <t>12340 NE 115th Place</t>
  </si>
  <si>
    <t>339</t>
  </si>
  <si>
    <t>sfo1273</t>
  </si>
  <si>
    <t>Solstice</t>
  </si>
  <si>
    <t>482</t>
  </si>
  <si>
    <t>136</t>
  </si>
  <si>
    <t>Stevenson Place</t>
  </si>
  <si>
    <t>135</t>
  </si>
  <si>
    <t>Stonehedge Village</t>
  </si>
  <si>
    <t>129</t>
  </si>
  <si>
    <t>Summerhill Park</t>
  </si>
  <si>
    <t>132</t>
  </si>
  <si>
    <t>pnw1247</t>
  </si>
  <si>
    <t>Taylor 28</t>
  </si>
  <si>
    <t>100 Taylor Avenue N</t>
  </si>
  <si>
    <t>pnw1214</t>
  </si>
  <si>
    <t>2922 Western Avenue</t>
  </si>
  <si>
    <t>329</t>
  </si>
  <si>
    <t>330</t>
  </si>
  <si>
    <t>422 Yale Avenue N</t>
  </si>
  <si>
    <t>476</t>
  </si>
  <si>
    <t>138</t>
  </si>
  <si>
    <t>025</t>
  </si>
  <si>
    <t>275 Union Avenue</t>
  </si>
  <si>
    <t>Campbell</t>
  </si>
  <si>
    <t>381</t>
  </si>
  <si>
    <t>West Hollywood</t>
  </si>
  <si>
    <t>218</t>
  </si>
  <si>
    <t>Mukilteo</t>
  </si>
  <si>
    <t>lax1217</t>
  </si>
  <si>
    <t>25343 Silver Aspen Way</t>
  </si>
  <si>
    <t>Valencia</t>
  </si>
  <si>
    <t>178</t>
  </si>
  <si>
    <t>183</t>
  </si>
  <si>
    <t>lax1129</t>
  </si>
  <si>
    <t>10441 Slater Avenue</t>
  </si>
  <si>
    <t>Fountain Valley</t>
  </si>
  <si>
    <t>Chino Hills</t>
  </si>
  <si>
    <t>017</t>
  </si>
  <si>
    <t>123</t>
  </si>
  <si>
    <t>380</t>
  </si>
  <si>
    <t>sfo1281</t>
  </si>
  <si>
    <t>lax1226</t>
  </si>
  <si>
    <t>Laguna Niguel</t>
  </si>
  <si>
    <t>095</t>
  </si>
  <si>
    <t>283</t>
  </si>
  <si>
    <t>lax1228</t>
  </si>
  <si>
    <t>lax1055</t>
  </si>
  <si>
    <t>2400 Ridgeview Drive</t>
  </si>
  <si>
    <t>pnw1243</t>
  </si>
  <si>
    <t>lax1279</t>
  </si>
  <si>
    <t>24015 Copper Hill Drive</t>
  </si>
  <si>
    <t>356</t>
  </si>
  <si>
    <t>40640 High Street</t>
  </si>
  <si>
    <t>149</t>
  </si>
  <si>
    <t>Tierra Vista</t>
  </si>
  <si>
    <t>lax1241</t>
  </si>
  <si>
    <t>Tiffany Court</t>
  </si>
  <si>
    <t>616 Masselin Avenue</t>
  </si>
  <si>
    <t>148</t>
  </si>
  <si>
    <t>Trabuco Villas</t>
  </si>
  <si>
    <t>25381 Mosswood Way</t>
  </si>
  <si>
    <t>Lake Forest</t>
  </si>
  <si>
    <t>242</t>
  </si>
  <si>
    <t>sfo1108</t>
  </si>
  <si>
    <t>Verandas</t>
  </si>
  <si>
    <t>33 Union Square</t>
  </si>
  <si>
    <t>Union City</t>
  </si>
  <si>
    <t>353</t>
  </si>
  <si>
    <t>186</t>
  </si>
  <si>
    <t>Via</t>
  </si>
  <si>
    <t>185</t>
  </si>
  <si>
    <t>Via Commercial</t>
  </si>
  <si>
    <t>241</t>
  </si>
  <si>
    <t>Placentia</t>
  </si>
  <si>
    <t>sfo1256</t>
  </si>
  <si>
    <t>Villa Granada</t>
  </si>
  <si>
    <t>3595 Granada Avenue</t>
  </si>
  <si>
    <t>lax1184</t>
  </si>
  <si>
    <t>Villa Siena</t>
  </si>
  <si>
    <t>1250 Adams Avenue</t>
  </si>
  <si>
    <t>Costa Mesa</t>
  </si>
  <si>
    <t>411</t>
  </si>
  <si>
    <t>479</t>
  </si>
  <si>
    <t>Burbank</t>
  </si>
  <si>
    <t>lax1121</t>
  </si>
  <si>
    <t>Village Green</t>
  </si>
  <si>
    <t>901 South Idaho Street</t>
  </si>
  <si>
    <t>151</t>
  </si>
  <si>
    <t>Vista Belvedere</t>
  </si>
  <si>
    <t>65 Red Hill Circle</t>
  </si>
  <si>
    <t>Tiburon</t>
  </si>
  <si>
    <t>154</t>
  </si>
  <si>
    <t>400</t>
  </si>
  <si>
    <t>Vox</t>
  </si>
  <si>
    <t>1527 15th Avenue</t>
  </si>
  <si>
    <t>401</t>
  </si>
  <si>
    <t>Vox Commercial</t>
  </si>
  <si>
    <t>373</t>
  </si>
  <si>
    <t>1500 Newell Avenue</t>
  </si>
  <si>
    <t>167</t>
  </si>
  <si>
    <t>Walnut Heights</t>
  </si>
  <si>
    <t>20700 San Jose Hills Road</t>
  </si>
  <si>
    <t>Walnut</t>
  </si>
  <si>
    <t>164</t>
  </si>
  <si>
    <t>Kent</t>
  </si>
  <si>
    <t>166</t>
  </si>
  <si>
    <t>1700 North First Street</t>
  </si>
  <si>
    <t>168</t>
  </si>
  <si>
    <t>Wharfside Pointe</t>
  </si>
  <si>
    <t>147</t>
  </si>
  <si>
    <t>lax1259</t>
  </si>
  <si>
    <t>Wilshire La Brea</t>
  </si>
  <si>
    <t>169</t>
  </si>
  <si>
    <t>Wilshire Promenade</t>
  </si>
  <si>
    <t>337</t>
  </si>
  <si>
    <t>Wilshire Promenade Commercial</t>
  </si>
  <si>
    <t>lax1240</t>
  </si>
  <si>
    <t>Windsor Court</t>
  </si>
  <si>
    <t>170</t>
  </si>
  <si>
    <t>Windsor Ridge</t>
  </si>
  <si>
    <t>163</t>
  </si>
  <si>
    <t>Woodland Commons</t>
  </si>
  <si>
    <t>244</t>
  </si>
  <si>
    <t>Gateway Village</t>
  </si>
  <si>
    <t>414</t>
  </si>
  <si>
    <t>531</t>
  </si>
  <si>
    <t>530</t>
  </si>
  <si>
    <t>528</t>
  </si>
  <si>
    <t>527</t>
  </si>
  <si>
    <t>523</t>
  </si>
  <si>
    <t>521</t>
  </si>
  <si>
    <t>520</t>
  </si>
  <si>
    <t>519</t>
  </si>
  <si>
    <t>518</t>
  </si>
  <si>
    <t>517</t>
  </si>
  <si>
    <t>516</t>
  </si>
  <si>
    <t>514</t>
  </si>
  <si>
    <t>508</t>
  </si>
  <si>
    <t>506</t>
  </si>
  <si>
    <t>505</t>
  </si>
  <si>
    <t>504</t>
  </si>
  <si>
    <t>502</t>
  </si>
  <si>
    <t>421</t>
  </si>
  <si>
    <t>416</t>
  </si>
  <si>
    <t>San Rafael, CA</t>
  </si>
  <si>
    <t>sfo2244</t>
  </si>
  <si>
    <t>039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</si>
  <si>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</si>
  <si>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</si>
  <si>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</si>
  <si>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</si>
  <si>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</si>
  <si>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</si>
  <si>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</si>
  <si>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</si>
  <si>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</si>
  <si>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</si>
  <si>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</si>
  <si>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</si>
  <si>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</si>
  <si>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483</t>
  </si>
  <si>
    <t>480</t>
  </si>
  <si>
    <t>466</t>
  </si>
  <si>
    <t>464</t>
  </si>
  <si>
    <t>390</t>
  </si>
  <si>
    <t>384</t>
  </si>
  <si>
    <t>379</t>
  </si>
  <si>
    <t>377</t>
  </si>
  <si>
    <t>346</t>
  </si>
  <si>
    <t>273</t>
  </si>
  <si>
    <t>243</t>
  </si>
  <si>
    <t>189</t>
  </si>
  <si>
    <t>179</t>
  </si>
  <si>
    <t>494</t>
  </si>
  <si>
    <t>491</t>
  </si>
  <si>
    <t>391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</si>
  <si>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</si>
  <si>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</si>
  <si>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</si>
  <si>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</si>
  <si>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</si>
  <si>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</si>
  <si>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</si>
  <si>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</si>
  <si>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</si>
  <si>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2018</t>
  </si>
  <si>
    <t>2017</t>
  </si>
  <si>
    <t>199</t>
  </si>
  <si>
    <t>580</t>
  </si>
  <si>
    <t>577</t>
  </si>
  <si>
    <t>575</t>
  </si>
  <si>
    <t>573</t>
  </si>
  <si>
    <t>572</t>
  </si>
  <si>
    <t>571</t>
  </si>
  <si>
    <t>570</t>
  </si>
  <si>
    <t>568</t>
  </si>
  <si>
    <t>566</t>
  </si>
  <si>
    <t>565</t>
  </si>
  <si>
    <t>564</t>
  </si>
  <si>
    <t>563</t>
  </si>
  <si>
    <t>562</t>
  </si>
  <si>
    <t>561</t>
  </si>
  <si>
    <t>560</t>
  </si>
  <si>
    <t>558</t>
  </si>
  <si>
    <t>557</t>
  </si>
  <si>
    <t>555</t>
  </si>
  <si>
    <t>554</t>
  </si>
  <si>
    <t>552</t>
  </si>
  <si>
    <t>551</t>
  </si>
  <si>
    <t>550</t>
  </si>
  <si>
    <t>549</t>
  </si>
  <si>
    <t>548</t>
  </si>
  <si>
    <t>547</t>
  </si>
  <si>
    <t>495</t>
  </si>
  <si>
    <t>395</t>
  </si>
  <si>
    <t>392</t>
  </si>
  <si>
    <t>901</t>
  </si>
  <si>
    <t>Commercial</t>
  </si>
  <si>
    <t>399</t>
  </si>
  <si>
    <t>398</t>
  </si>
  <si>
    <t>397</t>
  </si>
  <si>
    <t>396</t>
  </si>
  <si>
    <t>Property</t>
  </si>
  <si>
    <t>Yardi</t>
  </si>
  <si>
    <t>Construction</t>
  </si>
  <si>
    <t>Units</t>
  </si>
  <si>
    <t>Type</t>
  </si>
  <si>
    <t>Zip</t>
  </si>
  <si>
    <t>Latitude</t>
  </si>
  <si>
    <t>Longitude</t>
  </si>
  <si>
    <t>Stories</t>
  </si>
  <si>
    <t>Buildings</t>
  </si>
  <si>
    <t>Region</t>
  </si>
  <si>
    <t>County</t>
  </si>
  <si>
    <t>Development</t>
  </si>
  <si>
    <t>Commons</t>
  </si>
  <si>
    <t>MF Residential</t>
  </si>
  <si>
    <t xml:space="preserve">EPLP </t>
  </si>
  <si>
    <t>Residential</t>
  </si>
  <si>
    <t>Garden</t>
  </si>
  <si>
    <t>Silver</t>
  </si>
  <si>
    <t>Northern California</t>
  </si>
  <si>
    <t>San Jose-Sunnyvale-Santa Clara, CA</t>
  </si>
  <si>
    <t>West San Jose MSA</t>
  </si>
  <si>
    <t>West San Jose/Campbell</t>
  </si>
  <si>
    <t>Acquisition</t>
  </si>
  <si>
    <t>Pointe at Cupertino</t>
  </si>
  <si>
    <t>Gold</t>
  </si>
  <si>
    <t>South Sunnyvale/Cupertino</t>
  </si>
  <si>
    <t>DownREIT</t>
  </si>
  <si>
    <t>1102 South Abel Street</t>
  </si>
  <si>
    <t>Wrap</t>
  </si>
  <si>
    <t>Central-East San Jose MSA</t>
  </si>
  <si>
    <t>North San Jose/Milpitas</t>
  </si>
  <si>
    <t>Wesco III</t>
  </si>
  <si>
    <t>Podium</t>
  </si>
  <si>
    <t>Mountain View/Palo Alto/Los Altos</t>
  </si>
  <si>
    <t>JV</t>
  </si>
  <si>
    <t>101 East San Fernando Street</t>
  </si>
  <si>
    <t>Mixed-Use</t>
  </si>
  <si>
    <t>Central San Jose</t>
  </si>
  <si>
    <t>Wesco V</t>
  </si>
  <si>
    <t>360 South Market Street</t>
  </si>
  <si>
    <t>High-Rise</t>
  </si>
  <si>
    <t>Platinum</t>
  </si>
  <si>
    <t>Heitman</t>
  </si>
  <si>
    <t>1 South Market Street</t>
  </si>
  <si>
    <t>Carlyle</t>
  </si>
  <si>
    <t>BEX II</t>
  </si>
  <si>
    <t>2909 Nieman Boulevard</t>
  </si>
  <si>
    <t>East San Jose</t>
  </si>
  <si>
    <t>Waterford Place</t>
  </si>
  <si>
    <t>EPLP</t>
  </si>
  <si>
    <t>Epic I/II/III</t>
  </si>
  <si>
    <t>CPP</t>
  </si>
  <si>
    <t>Merger</t>
  </si>
  <si>
    <t>350 East Taylor Street</t>
  </si>
  <si>
    <t>817 North 10th Street</t>
  </si>
  <si>
    <t>688 North 7th Street</t>
  </si>
  <si>
    <t>465 West San Carlos Street</t>
  </si>
  <si>
    <t>345 Sunol Street</t>
  </si>
  <si>
    <t xml:space="preserve">383 Vista Roma Way  </t>
  </si>
  <si>
    <t>South San Jose</t>
  </si>
  <si>
    <t>Palm Valley-Villa Veneto</t>
  </si>
  <si>
    <t>350 La Strada Drive</t>
  </si>
  <si>
    <t>Palm Valley-Palma Sorrento</t>
  </si>
  <si>
    <t>250 Palm Valley Boulevard</t>
  </si>
  <si>
    <t>Palm Valley-Santa Palmia &amp;  Village of Marineo</t>
  </si>
  <si>
    <t>150 Palm Valley Boulevard</t>
  </si>
  <si>
    <t>Palm Valley-Ciro's Café in Santa Palmia</t>
  </si>
  <si>
    <t>Retail</t>
  </si>
  <si>
    <t xml:space="preserve">Willow Lake </t>
  </si>
  <si>
    <t xml:space="preserve">1331 Lakeshore Circle </t>
  </si>
  <si>
    <t>1000 Kiely Boulevard</t>
  </si>
  <si>
    <t xml:space="preserve">Le Parc </t>
  </si>
  <si>
    <t>440 North Winchester Avenue</t>
  </si>
  <si>
    <t>3480 Granada Avenue</t>
  </si>
  <si>
    <t>Wesco I</t>
  </si>
  <si>
    <t>North Sunnyvale</t>
  </si>
  <si>
    <t>732 East Evelyn Avenue</t>
  </si>
  <si>
    <t>829 East Evelyn Avenue</t>
  </si>
  <si>
    <t>EPLP/DownREIT</t>
  </si>
  <si>
    <t>107 &amp; 113 South Mary Avenue</t>
  </si>
  <si>
    <t xml:space="preserve">Montclaire </t>
  </si>
  <si>
    <t>450 North Mathilda Avenue</t>
  </si>
  <si>
    <t>972 Corte Madera Avenue</t>
  </si>
  <si>
    <t>299 West Washington Avenue</t>
  </si>
  <si>
    <t xml:space="preserve">621 Tasman Drive </t>
  </si>
  <si>
    <t>Oakland-Hayward-Berkeley, CA</t>
  </si>
  <si>
    <t>Alameda</t>
  </si>
  <si>
    <t>Oakland CBD</t>
  </si>
  <si>
    <t>Oakland/Berkeley</t>
  </si>
  <si>
    <t>7550 St. Patrick Way</t>
  </si>
  <si>
    <t>San Ramon/Dublin</t>
  </si>
  <si>
    <t>Emme</t>
  </si>
  <si>
    <t xml:space="preserve">6350 Christie Avenue </t>
  </si>
  <si>
    <t>Boulevard</t>
  </si>
  <si>
    <t>40001 Fremont Boulevard</t>
  </si>
  <si>
    <t>Paragon Apartments</t>
  </si>
  <si>
    <t>4141 Stevenson Boulevard</t>
  </si>
  <si>
    <t xml:space="preserve">Woods </t>
  </si>
  <si>
    <t>Wesco IV</t>
  </si>
  <si>
    <t>Hayward/San Leandro/Union City</t>
  </si>
  <si>
    <t xml:space="preserve">City View </t>
  </si>
  <si>
    <t>25200 Carlos Bee Boulevard</t>
  </si>
  <si>
    <t>Bronze</t>
  </si>
  <si>
    <t xml:space="preserve">Bridgeport </t>
  </si>
  <si>
    <t>Grand</t>
  </si>
  <si>
    <t xml:space="preserve">100 Grand Avenue </t>
  </si>
  <si>
    <t>Landing at Jack London Square</t>
  </si>
  <si>
    <t>101 Embarcadero West</t>
  </si>
  <si>
    <t>4th &amp; Madison</t>
  </si>
  <si>
    <t>412 Madison Street</t>
  </si>
  <si>
    <t>Galloway at Owens/Hacienda</t>
  </si>
  <si>
    <t>4863 Willow Road / 5789 Gibraltor Drive</t>
  </si>
  <si>
    <t>Livermore/Pleasanton</t>
  </si>
  <si>
    <t>Contra Costa</t>
  </si>
  <si>
    <t>Walnut Creek/Lafayette</t>
  </si>
  <si>
    <t>Northwest Contra Costa County</t>
  </si>
  <si>
    <t>Canyon Oaks  at Windemere</t>
  </si>
  <si>
    <t xml:space="preserve">1 Amberstone Lane </t>
  </si>
  <si>
    <t xml:space="preserve">Mill Creek at Windermere </t>
  </si>
  <si>
    <t xml:space="preserve">2100 Waterstone Place </t>
  </si>
  <si>
    <t xml:space="preserve">Bel Air </t>
  </si>
  <si>
    <t>Platinum/Gold</t>
  </si>
  <si>
    <t>1110 Harness Drive / 2711-2731 Morgan Drive</t>
  </si>
  <si>
    <t xml:space="preserve">Belmont Terrace </t>
  </si>
  <si>
    <t xml:space="preserve">1060 Continentals Way </t>
  </si>
  <si>
    <t>San Francisco-Redwood City-South San Francisco, CA</t>
  </si>
  <si>
    <t>South San Mateo County</t>
  </si>
  <si>
    <t>Central San Mateo County</t>
  </si>
  <si>
    <t xml:space="preserve">Hillsdale Garden </t>
  </si>
  <si>
    <t xml:space="preserve">Lakeshore Landing </t>
  </si>
  <si>
    <t>1950 Elkhorn Court</t>
  </si>
  <si>
    <t>San Mateo &amp; 5th</t>
  </si>
  <si>
    <t>225 East Fifth Avenue</t>
  </si>
  <si>
    <t>Station Park Green I/II/III</t>
  </si>
  <si>
    <t xml:space="preserve">1700 South Delaware Street </t>
  </si>
  <si>
    <t>Station Park Green IV</t>
  </si>
  <si>
    <t>620 Veterans Boulevard</t>
  </si>
  <si>
    <t>500 Folsom</t>
  </si>
  <si>
    <t>AEW</t>
  </si>
  <si>
    <t>500 Folsom Street</t>
  </si>
  <si>
    <t>SoMa</t>
  </si>
  <si>
    <t>West San Francisco</t>
  </si>
  <si>
    <t xml:space="preserve">Bennett Lofts </t>
  </si>
  <si>
    <t xml:space="preserve">530, 542, 548 Brannan / 1001 Mariposa Street </t>
  </si>
  <si>
    <t>Fox Plaza</t>
  </si>
  <si>
    <t>1390 Market Street</t>
  </si>
  <si>
    <t>Downtown San Francisco</t>
  </si>
  <si>
    <t>Mosso I/II</t>
  </si>
  <si>
    <t>900 Folsom Street</t>
  </si>
  <si>
    <t>Mid-Rise</t>
  </si>
  <si>
    <t>MB 360</t>
  </si>
  <si>
    <t>1200 Fourth Street</t>
  </si>
  <si>
    <t>Marin</t>
  </si>
  <si>
    <t>Marin County</t>
  </si>
  <si>
    <t>Chestnut Street</t>
  </si>
  <si>
    <t xml:space="preserve">143 Chestnut Avenue </t>
  </si>
  <si>
    <t>Santa Cruz-Watsonville, CA</t>
  </si>
  <si>
    <t>Other</t>
  </si>
  <si>
    <t>Village at Toluca Lake</t>
  </si>
  <si>
    <t>BEX III</t>
  </si>
  <si>
    <t>211 &amp; 235 North Valley Street</t>
  </si>
  <si>
    <t>Southern California</t>
  </si>
  <si>
    <t>Los Angeles-Long Beach-Glendale, CA</t>
  </si>
  <si>
    <t>Tri-Cities LA</t>
  </si>
  <si>
    <t>Burbank/Glendale/Pasadena</t>
  </si>
  <si>
    <t>2840 South Diamond Bar Boulevard</t>
  </si>
  <si>
    <t>South San Gabriel Valley</t>
  </si>
  <si>
    <t xml:space="preserve">Regency at Encino </t>
  </si>
  <si>
    <t xml:space="preserve">15506 Moorpark Street </t>
  </si>
  <si>
    <t>Sherman Oaks/North Hollywood/Encino</t>
  </si>
  <si>
    <t xml:space="preserve">412 East Broadway </t>
  </si>
  <si>
    <t>Hampton Place/Court</t>
  </si>
  <si>
    <t>1136 N. Columbus / 245 W. Loraine</t>
  </si>
  <si>
    <t>Marbrisa</t>
  </si>
  <si>
    <t>1809 Termino Avenue</t>
  </si>
  <si>
    <t>Pathways at Bixby Village</t>
  </si>
  <si>
    <t>Los Angeles CBD</t>
  </si>
  <si>
    <t>Downtown Los Angeles</t>
  </si>
  <si>
    <t>Bunker Hill</t>
  </si>
  <si>
    <t>Gas Company Lofts</t>
  </si>
  <si>
    <t>810 South Flower Street</t>
  </si>
  <si>
    <t>610 South Main Street</t>
  </si>
  <si>
    <t>Avant I &amp; II</t>
  </si>
  <si>
    <t>1420 South Figueroa Street</t>
  </si>
  <si>
    <t>716 S. Los Angeles / 743 S. Santee</t>
  </si>
  <si>
    <t>Platinum/Silver</t>
  </si>
  <si>
    <t xml:space="preserve">716 South Los Angeles Street </t>
  </si>
  <si>
    <t>5700 West Centinela</t>
  </si>
  <si>
    <t>West LA</t>
  </si>
  <si>
    <t>South Bay</t>
  </si>
  <si>
    <t>Brentwood/Westwood/Beverly Hills</t>
  </si>
  <si>
    <t>1304 West 2nd Street</t>
  </si>
  <si>
    <t>Mid-Wilshire</t>
  </si>
  <si>
    <t>5600 Wilshire Boulevard</t>
  </si>
  <si>
    <t>600, 400, 401 S. Detroit / 612 S. Cochran</t>
  </si>
  <si>
    <t>5200 Wilshire Boulevard</t>
  </si>
  <si>
    <t>733 North Kings Road</t>
  </si>
  <si>
    <t>690 South Catalina Street</t>
  </si>
  <si>
    <t>914 South Wilton Place</t>
  </si>
  <si>
    <t>900 South Irolo Street</t>
  </si>
  <si>
    <t>Nickelodeon on Sunset</t>
  </si>
  <si>
    <t>6250 Sunset Boulevard</t>
  </si>
  <si>
    <t>Hollywood/Los Feliz</t>
  </si>
  <si>
    <t>Huxley</t>
  </si>
  <si>
    <t>1234 North La Brea Avenue</t>
  </si>
  <si>
    <t>Dylan</t>
  </si>
  <si>
    <t>7111 Santa Monica Boulevard</t>
  </si>
  <si>
    <t>4750 Lincoln Boulevard</t>
  </si>
  <si>
    <t>Santa Monica/Marina del Rey</t>
  </si>
  <si>
    <t>Promenade Marina City Club</t>
  </si>
  <si>
    <t>4333 Admiralty Way</t>
  </si>
  <si>
    <t xml:space="preserve">Mirabella </t>
  </si>
  <si>
    <t>13701 Marina Point Drive</t>
  </si>
  <si>
    <t>5451 Vineland Avenue</t>
  </si>
  <si>
    <t>Hallie</t>
  </si>
  <si>
    <t>280 East Del Mar Boulevard</t>
  </si>
  <si>
    <t>Stuart at Sierra Madre Villa</t>
  </si>
  <si>
    <t>3360 East Foothill Boulevard</t>
  </si>
  <si>
    <t>Rancho Palos Verde</t>
  </si>
  <si>
    <t>Torrance</t>
  </si>
  <si>
    <t>Santa Clarita Valley</t>
  </si>
  <si>
    <t>Fairways at Westridge</t>
  </si>
  <si>
    <t>Vistas of West Hills</t>
  </si>
  <si>
    <t>Van Nuys/Northeast San Fernando Valley</t>
  </si>
  <si>
    <t>12005 Albers Street</t>
  </si>
  <si>
    <t>Avondale at Warner Center</t>
  </si>
  <si>
    <t>Camarillo Oaks</t>
  </si>
  <si>
    <t>Oxnard-Thousand Oaks-Ventura, CA</t>
  </si>
  <si>
    <t xml:space="preserve">Camino Ruiz Square </t>
  </si>
  <si>
    <t>Thousand Oaks</t>
  </si>
  <si>
    <t>CitiCentre</t>
  </si>
  <si>
    <t>150 Casey Road</t>
  </si>
  <si>
    <t>Moorpark</t>
  </si>
  <si>
    <t>Simi Valley/Moorpark</t>
  </si>
  <si>
    <t>Hillcrest Park</t>
  </si>
  <si>
    <t>Arbors at Parc Rose</t>
  </si>
  <si>
    <t xml:space="preserve">1500 Tulipan Circle </t>
  </si>
  <si>
    <t>711 South B Street</t>
  </si>
  <si>
    <t xml:space="preserve">1750 Montevina Circle </t>
  </si>
  <si>
    <t xml:space="preserve">Monterey Villas </t>
  </si>
  <si>
    <t>Meadowood</t>
  </si>
  <si>
    <t xml:space="preserve">Hidden Valley </t>
  </si>
  <si>
    <t>Lofts at Pinehurst</t>
  </si>
  <si>
    <t>1021 Scandia Avenue</t>
  </si>
  <si>
    <t>Pinehurst</t>
  </si>
  <si>
    <t>Woodside Village</t>
  </si>
  <si>
    <t>675 Providence Avenue</t>
  </si>
  <si>
    <t xml:space="preserve">Anavia </t>
  </si>
  <si>
    <t>2045 South State College Boulevard</t>
  </si>
  <si>
    <t>Anaheim-Santa Ana-Irvine, CA</t>
  </si>
  <si>
    <t>North Orange</t>
  </si>
  <si>
    <t>East Anaheim/Orange</t>
  </si>
  <si>
    <t>Barkley</t>
  </si>
  <si>
    <t>2400 East Lincoln Avenue</t>
  </si>
  <si>
    <t>1515 East Katella Avenue</t>
  </si>
  <si>
    <t>3063 West Chapman Avenue</t>
  </si>
  <si>
    <t>South Orange</t>
  </si>
  <si>
    <t>Valley Park</t>
  </si>
  <si>
    <t>17300 Euclid Avenue</t>
  </si>
  <si>
    <t>Havens</t>
  </si>
  <si>
    <t>BEXAEW I</t>
  </si>
  <si>
    <t>141 West Wilshire Avenue</t>
  </si>
  <si>
    <t xml:space="preserve">Villa Angelina </t>
  </si>
  <si>
    <t>201 East Chapman Avenue</t>
  </si>
  <si>
    <t>North Orange County</t>
  </si>
  <si>
    <t>Garden Grove/Westminster</t>
  </si>
  <si>
    <t>Huntington Breakers</t>
  </si>
  <si>
    <t>21270 Beach Boulevard</t>
  </si>
  <si>
    <t>Huntington</t>
  </si>
  <si>
    <t>8400 Edinger Avenue</t>
  </si>
  <si>
    <t>2300 DuPont Drive</t>
  </si>
  <si>
    <t>South Irvine</t>
  </si>
  <si>
    <t>Palms at Laguna Niguel</t>
  </si>
  <si>
    <t>28188 Moulton Parkway</t>
  </si>
  <si>
    <t>South Orange County</t>
  </si>
  <si>
    <t>Hillsborough Park</t>
  </si>
  <si>
    <t>1501 South Beach Boulevard</t>
  </si>
  <si>
    <t>Mission Viejo/Lake Forest</t>
  </si>
  <si>
    <t>Fairway at Big Canyon</t>
  </si>
  <si>
    <t>Rancho Santa Margarita</t>
  </si>
  <si>
    <t>1300 East Fairhaven Avenue</t>
  </si>
  <si>
    <t>Tustin/West Santa Ana</t>
  </si>
  <si>
    <t xml:space="preserve">15 MacArthur Place </t>
  </si>
  <si>
    <t>31 East MacArthur Crescent</t>
  </si>
  <si>
    <t>San Diego-Carlsbad, CA</t>
  </si>
  <si>
    <t>El Cajon/Santee/Lakeside</t>
  </si>
  <si>
    <t>Chula Vista/Imperial Beach</t>
  </si>
  <si>
    <t>Pinnacle at Otay Ranch I &amp; II</t>
  </si>
  <si>
    <t>Oceanside/Esc</t>
  </si>
  <si>
    <t>10766 Scripps Ranch Boulevard</t>
  </si>
  <si>
    <t>North City/Coast</t>
  </si>
  <si>
    <t>Far North San Diego</t>
  </si>
  <si>
    <t xml:space="preserve">Esplanade </t>
  </si>
  <si>
    <t>10201 Camino Ruiz</t>
  </si>
  <si>
    <t xml:space="preserve">Mira Monte </t>
  </si>
  <si>
    <t>Northeast San Diego</t>
  </si>
  <si>
    <t>Summit Park Village</t>
  </si>
  <si>
    <t>8563 Lake Murray Boulevard</t>
  </si>
  <si>
    <t>La Mesa/Spring Valley</t>
  </si>
  <si>
    <t>5265 Clairemont Mesa Boulevard</t>
  </si>
  <si>
    <t>Northwest San Diego</t>
  </si>
  <si>
    <t>CitiPlace</t>
  </si>
  <si>
    <t>110 Ash Street</t>
  </si>
  <si>
    <t>San Diego CBD</t>
  </si>
  <si>
    <t>Downtown San Diego/Coronado</t>
  </si>
  <si>
    <t>1450 Market Street</t>
  </si>
  <si>
    <t>Carlsbad/Encinitas/Del Mar</t>
  </si>
  <si>
    <t>9830 Dale Avenue</t>
  </si>
  <si>
    <t>Sweeps/CBC</t>
  </si>
  <si>
    <t>755 Camino Del Sur /6721 El Colegio</t>
  </si>
  <si>
    <t>Santa Maria-Santa Barbara, CA</t>
  </si>
  <si>
    <t>Santa Barbara/Goleta</t>
  </si>
  <si>
    <t xml:space="preserve">3968-3974 &amp; 3999 Via Lucero </t>
  </si>
  <si>
    <t>Riverside-San Bernardino-Ontario, CA</t>
  </si>
  <si>
    <t>San Bernardino</t>
  </si>
  <si>
    <t>Inland Empire</t>
  </si>
  <si>
    <t>Ontario/Chino</t>
  </si>
  <si>
    <t>Summit</t>
  </si>
  <si>
    <t>Devonshire</t>
  </si>
  <si>
    <t>2770 West Devonshire Avenue</t>
  </si>
  <si>
    <t>Riverside</t>
  </si>
  <si>
    <t>Hemet/Perris/Lake Elsinore</t>
  </si>
  <si>
    <t>Pacific Northwest</t>
  </si>
  <si>
    <t>Seattle-Bellevue-Everett, WA</t>
  </si>
  <si>
    <t>King</t>
  </si>
  <si>
    <t>Eastside Seattle</t>
  </si>
  <si>
    <t>West Bellevue/Mercer Island</t>
  </si>
  <si>
    <t>308 108 Avenue NE</t>
  </si>
  <si>
    <t>Ellington</t>
  </si>
  <si>
    <t>3205 115th Avenue NE</t>
  </si>
  <si>
    <t>Silver/Bronze</t>
  </si>
  <si>
    <t>3010 118th Avenue SE</t>
  </si>
  <si>
    <t>East Bellevue/Issaquah</t>
  </si>
  <si>
    <t>898 137th Avenue NE</t>
  </si>
  <si>
    <t>Palisades</t>
  </si>
  <si>
    <t>13808 NE 12th Street</t>
  </si>
  <si>
    <t xml:space="preserve">304 118th Avenue SE </t>
  </si>
  <si>
    <t>13700 NE 10th Place</t>
  </si>
  <si>
    <t>14610 93rd Boulevard NE</t>
  </si>
  <si>
    <t>Snohomish County</t>
  </si>
  <si>
    <t>Kirkland/Bothell</t>
  </si>
  <si>
    <t>Highlands at Wynhaven</t>
  </si>
  <si>
    <t xml:space="preserve">1460 NE Hawthorne Street </t>
  </si>
  <si>
    <t>Park Hill at Issaquah</t>
  </si>
  <si>
    <t>Wandering Creek</t>
  </si>
  <si>
    <t>12910 SE 240th Street</t>
  </si>
  <si>
    <t>South King County</t>
  </si>
  <si>
    <t>Kent/Auburn</t>
  </si>
  <si>
    <t xml:space="preserve">12000 131st Lane NE </t>
  </si>
  <si>
    <t>Bridle Trails</t>
  </si>
  <si>
    <t>6600 130th Avenue NE</t>
  </si>
  <si>
    <t xml:space="preserve">Corbella at Juanita Bay </t>
  </si>
  <si>
    <t>Castle Creek</t>
  </si>
  <si>
    <t>8500 148th Avenue NE</t>
  </si>
  <si>
    <t>Trails of Redmond</t>
  </si>
  <si>
    <t>16539 NE 35th Court</t>
  </si>
  <si>
    <t xml:space="preserve">Elevation </t>
  </si>
  <si>
    <t xml:space="preserve">17202 NE 85th Place </t>
  </si>
  <si>
    <t xml:space="preserve">Vesta </t>
  </si>
  <si>
    <t xml:space="preserve">18666 Redmond Way </t>
  </si>
  <si>
    <t>1400 Lake Washington Boulevard North</t>
  </si>
  <si>
    <t>Brighton Ridge</t>
  </si>
  <si>
    <t>2307 NE 4th Street</t>
  </si>
  <si>
    <t>Forest View</t>
  </si>
  <si>
    <t>650 Duvall Avenue NE</t>
  </si>
  <si>
    <t>Audrey at Belltown</t>
  </si>
  <si>
    <t>Seattle CBD</t>
  </si>
  <si>
    <t>Downtown Seattle</t>
  </si>
  <si>
    <t>2400 4th Street</t>
  </si>
  <si>
    <t>430 8th Avenue N</t>
  </si>
  <si>
    <t>South Lake Union/Queen Anne</t>
  </si>
  <si>
    <t>118 6th Avenue North</t>
  </si>
  <si>
    <t>Cairns</t>
  </si>
  <si>
    <t xml:space="preserve">1601 13th Avenue </t>
  </si>
  <si>
    <t>Capitol Hill/Central District</t>
  </si>
  <si>
    <t>523 Broadway East</t>
  </si>
  <si>
    <t xml:space="preserve">Bernard </t>
  </si>
  <si>
    <t>115 Warren Avenue North</t>
  </si>
  <si>
    <t>3827 14th Avenue West</t>
  </si>
  <si>
    <t>Snohomish</t>
  </si>
  <si>
    <t>19928 Bothell Everett Highway</t>
  </si>
  <si>
    <t>Salmon Run at Perry Creek</t>
  </si>
  <si>
    <t>15520 Mill Creek Boulevard</t>
  </si>
  <si>
    <t>Laurels at Mill Creek</t>
  </si>
  <si>
    <t>Elliot at Mukilteo</t>
  </si>
  <si>
    <t>9507 49th Avenue West</t>
  </si>
  <si>
    <t>Lynnwood/Edmonds/Mukilteo</t>
  </si>
  <si>
    <t>360 Residences Commercial</t>
  </si>
  <si>
    <t>One South Market Commercial</t>
  </si>
  <si>
    <t>Century Towers Commercial</t>
  </si>
  <si>
    <t>sfo2267</t>
  </si>
  <si>
    <t>Lawrence Station Commercial</t>
  </si>
  <si>
    <t>sfo2273</t>
  </si>
  <si>
    <t>Solstice Commercial</t>
  </si>
  <si>
    <t>Avenue 64 Commercial</t>
  </si>
  <si>
    <t>Galloway at Owens Commercial</t>
  </si>
  <si>
    <t>Grand Commercial</t>
  </si>
  <si>
    <t>Agora at South Main Commercial</t>
  </si>
  <si>
    <t>San Mateo &amp; 5th Commercial</t>
  </si>
  <si>
    <t>Station Park Green Commercial</t>
  </si>
  <si>
    <t>500 Folsom Commercial</t>
  </si>
  <si>
    <t>583jc</t>
  </si>
  <si>
    <t>MB 360 Commercial</t>
  </si>
  <si>
    <t>Mosso I/II Commercial</t>
  </si>
  <si>
    <t>Chestnut Street Commercial</t>
  </si>
  <si>
    <t>Avant I &amp; II Commercial</t>
  </si>
  <si>
    <t>Gas Company Lofts Commercial</t>
  </si>
  <si>
    <t>Pacific Electric Lofts Commercial</t>
  </si>
  <si>
    <t>Huxley Commercial</t>
  </si>
  <si>
    <t>Dylan Commercial</t>
  </si>
  <si>
    <t>Earl Carroll Theatre</t>
  </si>
  <si>
    <t>Office/Studio</t>
  </si>
  <si>
    <t>6230 Sunset Boulevard</t>
  </si>
  <si>
    <t>Theater</t>
  </si>
  <si>
    <t>lax2259</t>
  </si>
  <si>
    <t>Wilshire La Brea Commercial</t>
  </si>
  <si>
    <t>Promenade Marina City Club Commercial</t>
  </si>
  <si>
    <t>lax2199</t>
  </si>
  <si>
    <t>Pinnacle at Fullerton Commercial</t>
  </si>
  <si>
    <t>Office</t>
  </si>
  <si>
    <t>Low-Rise</t>
  </si>
  <si>
    <t>West Irvine</t>
  </si>
  <si>
    <t>lax2166</t>
  </si>
  <si>
    <t>Pinnacle at MacArthur Place Commercial</t>
  </si>
  <si>
    <t>Form 15 Commercial</t>
  </si>
  <si>
    <t>pnw2246</t>
  </si>
  <si>
    <t>Belcarra Commercial</t>
  </si>
  <si>
    <t>pnw2162</t>
  </si>
  <si>
    <t>BellCentre Commercial</t>
  </si>
  <si>
    <t>pnw2159</t>
  </si>
  <si>
    <t>Park Highland Commercial</t>
  </si>
  <si>
    <t>Highlands at Wynhaven Commercial</t>
  </si>
  <si>
    <t>Slater 116 Commercial</t>
  </si>
  <si>
    <t>pnw2260</t>
  </si>
  <si>
    <t>Aviara Commercial</t>
  </si>
  <si>
    <t>8th &amp; Republican Commercial</t>
  </si>
  <si>
    <t>Cairns Commercial</t>
  </si>
  <si>
    <t>pnw2247</t>
  </si>
  <si>
    <t>Taylor 28 Commercial</t>
  </si>
  <si>
    <t>Hidden Hills/City View Racquet Club</t>
  </si>
  <si>
    <t>Land</t>
  </si>
  <si>
    <t>Fox Plaza Garage</t>
  </si>
  <si>
    <t>Garage</t>
  </si>
  <si>
    <t>Subterranean</t>
  </si>
  <si>
    <t>SF Residential</t>
  </si>
  <si>
    <t>200 Lucas Avenue</t>
  </si>
  <si>
    <t>Marina City Club Marina</t>
  </si>
  <si>
    <t>Marina</t>
  </si>
  <si>
    <t>Floating Marina</t>
  </si>
  <si>
    <t>OwnerEntity</t>
  </si>
  <si>
    <t>Built</t>
  </si>
  <si>
    <t>Acquired</t>
  </si>
  <si>
    <t>DEV4</t>
  </si>
  <si>
    <t>DEV3</t>
  </si>
  <si>
    <t>DEV2</t>
  </si>
  <si>
    <t>DEV1</t>
  </si>
  <si>
    <t>BuildingType</t>
  </si>
  <si>
    <t>Class</t>
  </si>
  <si>
    <t>MSA</t>
  </si>
  <si>
    <t>ESS_Submarket</t>
  </si>
  <si>
    <t>Axio_Submarket-New</t>
  </si>
  <si>
    <t>TotalSqft</t>
  </si>
  <si>
    <t>AcqType</t>
  </si>
  <si>
    <t>Stabilized</t>
  </si>
  <si>
    <t>LA - West Covina</t>
  </si>
  <si>
    <t>LA - Claremont</t>
  </si>
  <si>
    <t>LA - Santa Clarita</t>
  </si>
  <si>
    <t>San Diego - Other</t>
  </si>
  <si>
    <t>Patent 523</t>
  </si>
  <si>
    <t>Patent 523 Commercial</t>
  </si>
  <si>
    <t>HRDeptCode</t>
  </si>
  <si>
    <t>OwnerPercentage</t>
  </si>
  <si>
    <t>AcqDate</t>
  </si>
  <si>
    <t>Jefferson at Hollywood</t>
  </si>
  <si>
    <t>Candlewood North</t>
  </si>
  <si>
    <t>Harvest Park</t>
  </si>
  <si>
    <t>925/935 East Meadow Drive</t>
  </si>
  <si>
    <t>The Heights</t>
  </si>
  <si>
    <t>Sharon Green</t>
  </si>
  <si>
    <t>Emeryville Gateway- Bay Bridge Office Plaza</t>
  </si>
  <si>
    <t>Pinnacle at South Mountain</t>
  </si>
  <si>
    <t>Pinnacle Town Centre</t>
  </si>
  <si>
    <t>Alderwood Park</t>
  </si>
  <si>
    <t>Mt. Sutro</t>
  </si>
  <si>
    <t>Coldwater Canyon</t>
  </si>
  <si>
    <t>Pinnacle at Queen Creek</t>
  </si>
  <si>
    <t>Davey Glen</t>
  </si>
  <si>
    <t>Vista Capri North</t>
  </si>
  <si>
    <t>Brentwood/Hearthstone II</t>
  </si>
  <si>
    <t>Cambridge Apartments</t>
  </si>
  <si>
    <t>Linden Square</t>
  </si>
  <si>
    <t>Carlmont Woods</t>
  </si>
  <si>
    <t>Harbor Cove</t>
  </si>
  <si>
    <t xml:space="preserve">Eastlake </t>
  </si>
  <si>
    <t>The Renaissance</t>
  </si>
  <si>
    <t>Morning Run</t>
  </si>
  <si>
    <t>Charter Club</t>
  </si>
  <si>
    <t>Firdale Village</t>
  </si>
  <si>
    <t>North Creek Heights</t>
  </si>
  <si>
    <t>Plum Tree Park</t>
  </si>
  <si>
    <t>800 West Queen Creek Road</t>
  </si>
  <si>
    <t>200 Davey Glen Road</t>
  </si>
  <si>
    <t>Emeryville Gateway- Christie Industrial Bldg</t>
  </si>
  <si>
    <t>lax1283</t>
  </si>
  <si>
    <t>lax1065</t>
  </si>
  <si>
    <t>LAX1237</t>
  </si>
  <si>
    <t>LAX1227</t>
  </si>
  <si>
    <t>sfo1116</t>
  </si>
  <si>
    <t>sfo2050</t>
  </si>
  <si>
    <t>sfo2051</t>
  </si>
  <si>
    <t>phx4006</t>
  </si>
  <si>
    <t>phx4023</t>
  </si>
  <si>
    <t>511jc</t>
  </si>
  <si>
    <t>Current</t>
  </si>
  <si>
    <t>FKA1</t>
  </si>
  <si>
    <t>Hamptons</t>
  </si>
  <si>
    <t>Henley</t>
  </si>
  <si>
    <t>FK2</t>
  </si>
  <si>
    <t>Chimney Sweeps</t>
  </si>
  <si>
    <t>BEX II Yardi Change</t>
  </si>
  <si>
    <t>1500 Newell</t>
  </si>
  <si>
    <t>Block 9</t>
  </si>
  <si>
    <t xml:space="preserve"> San Diego</t>
  </si>
  <si>
    <t>2405 North 202nd Place</t>
  </si>
  <si>
    <t xml:space="preserve"> Shoreline</t>
  </si>
  <si>
    <t xml:space="preserve"> Seattle</t>
  </si>
  <si>
    <t xml:space="preserve"> Mission Viejo</t>
  </si>
  <si>
    <t>1724 N. Highland Avenue</t>
  </si>
  <si>
    <t xml:space="preserve"> Hollywood</t>
  </si>
  <si>
    <t xml:space="preserve"> Northridge</t>
  </si>
  <si>
    <t>10201 Lindley Avenue</t>
  </si>
  <si>
    <t>2327 Summer Creek Drive</t>
  </si>
  <si>
    <t xml:space="preserve"> Santa Rosa</t>
  </si>
  <si>
    <t>925 &amp; 935 East Meadow Drive</t>
  </si>
  <si>
    <t xml:space="preserve"> San Mateo CA 94303</t>
  </si>
  <si>
    <t>16675 Slate Drive</t>
  </si>
  <si>
    <t xml:space="preserve"> Chino Hills</t>
  </si>
  <si>
    <t>350 Sharon Park Drive</t>
  </si>
  <si>
    <t xml:space="preserve"> Menlo Park</t>
  </si>
  <si>
    <t>5151 East Guadalupe Road</t>
  </si>
  <si>
    <t xml:space="preserve"> Phoenix</t>
  </si>
  <si>
    <t>1601 East Highland Avenue</t>
  </si>
  <si>
    <t>37057 Magnolia Street</t>
  </si>
  <si>
    <t xml:space="preserve"> Newark CA 94560</t>
  </si>
  <si>
    <t>480 Warren Drive</t>
  </si>
  <si>
    <t xml:space="preserve"> San Francisco</t>
  </si>
  <si>
    <t>4250 Coldwater Canyon</t>
  </si>
  <si>
    <t xml:space="preserve"> Studio City</t>
  </si>
  <si>
    <t>3277 Berger Avenue</t>
  </si>
  <si>
    <t>2351 E. Santa Clara Avenue</t>
  </si>
  <si>
    <t xml:space="preserve"> Santa Ana</t>
  </si>
  <si>
    <t>660 F Street Chula Vista</t>
  </si>
  <si>
    <t xml:space="preserve"> CA 91910</t>
  </si>
  <si>
    <t>3530 Linden Avenue North</t>
  </si>
  <si>
    <t>2515 Carlmont Dr</t>
  </si>
  <si>
    <t xml:space="preserve"> Belmont</t>
  </si>
  <si>
    <t>900 East Hillsdale Boulevard</t>
  </si>
  <si>
    <t xml:space="preserve"> Foster City</t>
  </si>
  <si>
    <t>2851 Eastlake Avenue E</t>
  </si>
  <si>
    <t>630 Masselin Avenue</t>
  </si>
  <si>
    <t xml:space="preserve"> Los Angeles</t>
  </si>
  <si>
    <t>18463 Blueberry Lane</t>
  </si>
  <si>
    <t xml:space="preserve"> Snohomish</t>
  </si>
  <si>
    <t xml:space="preserve"> Everett</t>
  </si>
  <si>
    <t>9501 244th street SW</t>
  </si>
  <si>
    <t xml:space="preserve"> Edmonds</t>
  </si>
  <si>
    <t>19701 112th avenue</t>
  </si>
  <si>
    <t xml:space="preserve"> Bothell</t>
  </si>
  <si>
    <t>200 SW 5th Place</t>
  </si>
  <si>
    <t xml:space="preserve"> Renton</t>
  </si>
  <si>
    <t>Ca </t>
  </si>
  <si>
    <t>AZ</t>
  </si>
  <si>
    <t>1701 121st Street SE</t>
  </si>
  <si>
    <t>1130 North 115th Street</t>
  </si>
  <si>
    <t>8798 Spectrum Center Boulevard</t>
  </si>
  <si>
    <t>28401 Los Alisos Boulevard</t>
  </si>
  <si>
    <t>9830 Reseda Boulevard</t>
  </si>
  <si>
    <t>Shellmound</t>
  </si>
  <si>
    <t>5811 Shellmound Street</t>
  </si>
  <si>
    <t>Current RPM</t>
  </si>
  <si>
    <t>Suzanne Bachler</t>
  </si>
  <si>
    <t>Carol Swanson</t>
  </si>
  <si>
    <t>Lisa Scroggin</t>
  </si>
  <si>
    <t>Melissa Downs</t>
  </si>
  <si>
    <t>Ben Egge</t>
  </si>
  <si>
    <t>Sherrie Clevenger</t>
  </si>
  <si>
    <t>Josh Foley</t>
  </si>
  <si>
    <t>Bridgit Susim</t>
  </si>
  <si>
    <t>Jenifer Bulskov</t>
  </si>
  <si>
    <t>Melissa Gerard</t>
  </si>
  <si>
    <t>Nicholas Allen</t>
  </si>
  <si>
    <t>Mark Yepez</t>
  </si>
  <si>
    <t>Selena Kerr</t>
  </si>
  <si>
    <t>Kevin Forsyth</t>
  </si>
  <si>
    <t>Abigail Dizon</t>
  </si>
  <si>
    <t>Elizabeth Rodriguez</t>
  </si>
  <si>
    <t>Charla Neta</t>
  </si>
  <si>
    <t>Jillian Bryant</t>
  </si>
  <si>
    <t>Nicole Gibson-Conrad</t>
  </si>
  <si>
    <t>Shannen Floyd</t>
  </si>
  <si>
    <t>Same Store</t>
  </si>
  <si>
    <t>Non Same Store</t>
  </si>
  <si>
    <t>NC</t>
  </si>
  <si>
    <t>SS</t>
  </si>
  <si>
    <t>BMRType</t>
  </si>
  <si>
    <t>BMRUnits</t>
  </si>
  <si>
    <t>BMRExpiration</t>
  </si>
  <si>
    <t>BMR-10%</t>
  </si>
  <si>
    <t>BMR-1%</t>
  </si>
  <si>
    <t>BMR-20%</t>
  </si>
  <si>
    <t>RC-98%</t>
  </si>
  <si>
    <t>No Exp</t>
  </si>
  <si>
    <t>RC-87%</t>
  </si>
  <si>
    <t>BMR-53%</t>
  </si>
  <si>
    <t>BMR-14%</t>
  </si>
  <si>
    <t>BMR-25%</t>
  </si>
  <si>
    <t>RC-100%</t>
  </si>
  <si>
    <t>BMR-2%</t>
  </si>
  <si>
    <t>BMR-21%</t>
  </si>
  <si>
    <t>BMR-15%</t>
  </si>
  <si>
    <t>RC-0%</t>
  </si>
  <si>
    <t>BMR-5%</t>
  </si>
  <si>
    <t>BMR-16%</t>
  </si>
  <si>
    <t>MH-100%</t>
  </si>
  <si>
    <t>BMR-3%</t>
  </si>
  <si>
    <t>BMR-8%</t>
  </si>
  <si>
    <t>BMR-33%</t>
  </si>
  <si>
    <t>Station Park Green II</t>
  </si>
  <si>
    <t>Station Park Green III</t>
  </si>
  <si>
    <t>Essex Hollywood</t>
  </si>
  <si>
    <t>Essex Hollywood Commercial</t>
  </si>
  <si>
    <t>Front &amp; Ash</t>
  </si>
  <si>
    <t>StabilizedDate</t>
  </si>
  <si>
    <t>482-2</t>
  </si>
  <si>
    <t>482-3</t>
  </si>
  <si>
    <t>Collected</t>
  </si>
  <si>
    <t>Collection_Number</t>
  </si>
  <si>
    <t>Collected_Status</t>
  </si>
  <si>
    <t>Non-Collected</t>
  </si>
  <si>
    <t>Store</t>
  </si>
  <si>
    <t>Status</t>
  </si>
  <si>
    <t>Existing</t>
  </si>
  <si>
    <t>Lease Up</t>
  </si>
  <si>
    <t>Dev</t>
  </si>
  <si>
    <t>PNW</t>
  </si>
  <si>
    <t>LA/VEN</t>
  </si>
  <si>
    <t>NORCAL</t>
  </si>
  <si>
    <t>OC/SD</t>
  </si>
  <si>
    <t>RPM</t>
  </si>
  <si>
    <t xml:space="preserve">Bel Air Fairway Apartment </t>
  </si>
  <si>
    <t>Bel Air Fairway</t>
  </si>
  <si>
    <t>Canyon Oaks</t>
  </si>
  <si>
    <t>Canyon Oaks at Windemere</t>
  </si>
  <si>
    <t>City View</t>
  </si>
  <si>
    <t>Wimbledon Woods</t>
  </si>
  <si>
    <t>Esplanade Apartments</t>
  </si>
  <si>
    <t>Belmont Terrace</t>
  </si>
  <si>
    <t>Montclaire</t>
  </si>
  <si>
    <t>Le Parc</t>
  </si>
  <si>
    <t>Bel Air</t>
  </si>
  <si>
    <t>Willow Lake</t>
  </si>
  <si>
    <t>Bennett Lofts</t>
  </si>
  <si>
    <t>Hillsdale Garden</t>
  </si>
  <si>
    <t>Mill Creek at Windermere</t>
  </si>
  <si>
    <t>Woods</t>
  </si>
  <si>
    <t>Palm Valley-Santa Palmia &amp; Village of Marineo</t>
  </si>
  <si>
    <t>Bridgeport</t>
  </si>
  <si>
    <t>Lakeshore Landing</t>
  </si>
  <si>
    <t>Corbella at Juanita Bay</t>
  </si>
  <si>
    <t>Elevation</t>
  </si>
  <si>
    <t>Bernard</t>
  </si>
  <si>
    <t>Vesta</t>
  </si>
  <si>
    <t>Regency at Encino</t>
  </si>
  <si>
    <t>Anavia</t>
  </si>
  <si>
    <t>Hidden Valley</t>
  </si>
  <si>
    <t>Mirabella</t>
  </si>
  <si>
    <t>Mira Monte</t>
  </si>
  <si>
    <t>Monterey Villas</t>
  </si>
  <si>
    <t>Villa Angelina</t>
  </si>
  <si>
    <t>Camino Ruiz Square</t>
  </si>
  <si>
    <t>Le Parc Luxury Apt.</t>
  </si>
  <si>
    <t>Thomas Jefferson</t>
  </si>
  <si>
    <t>Magnolia Lane</t>
  </si>
  <si>
    <t>Camino Ruiz Apartments</t>
  </si>
  <si>
    <t>Camino Ruiz</t>
  </si>
  <si>
    <t>CBC Apartments</t>
  </si>
  <si>
    <t xml:space="preserve">Fairway @ Big Canyon </t>
  </si>
  <si>
    <t>Hampton Court</t>
  </si>
  <si>
    <t>Hampton Place</t>
  </si>
  <si>
    <t>Marina City Club</t>
  </si>
  <si>
    <t xml:space="preserve">Monterra Del Mar </t>
  </si>
  <si>
    <t>Monterra Del Rey</t>
  </si>
  <si>
    <t>Monterra Del Sol</t>
  </si>
  <si>
    <t>Monterras</t>
  </si>
  <si>
    <t>Marbella</t>
  </si>
  <si>
    <t>Avondale @ Warner Center</t>
  </si>
  <si>
    <t>Pathways</t>
  </si>
  <si>
    <t>Laurels @ Mill Creek</t>
  </si>
  <si>
    <t>Salmon Run @ Perry</t>
  </si>
  <si>
    <t>Park Hill</t>
  </si>
  <si>
    <t>NAV 2010</t>
  </si>
  <si>
    <t>Cap 2010</t>
  </si>
  <si>
    <t>Foothill/Twin</t>
  </si>
  <si>
    <t>Avondale</t>
  </si>
  <si>
    <t>Summit Park</t>
  </si>
  <si>
    <t>Marina View</t>
  </si>
  <si>
    <t>Park Place</t>
  </si>
  <si>
    <t>Trabuco Village</t>
  </si>
  <si>
    <t>Laurels @ Mill Crk</t>
  </si>
  <si>
    <t>Stonehedge</t>
  </si>
  <si>
    <t>NAV 2004</t>
  </si>
  <si>
    <t>Cap 2004</t>
  </si>
  <si>
    <t>NAV 2003</t>
  </si>
  <si>
    <t>Cap 2003</t>
  </si>
  <si>
    <t>2018 NAV</t>
  </si>
  <si>
    <t>2018 Cap</t>
  </si>
  <si>
    <t>DispDate</t>
  </si>
  <si>
    <t>Meridian</t>
  </si>
  <si>
    <t>Meridian Commercial</t>
  </si>
  <si>
    <t>468</t>
  </si>
  <si>
    <t>469</t>
  </si>
  <si>
    <t>Meridian at Midtown</t>
  </si>
  <si>
    <t>1432 West San Carlos Street</t>
  </si>
  <si>
    <t>StabilizedYear</t>
  </si>
  <si>
    <t>AcqYear</t>
  </si>
  <si>
    <t>Condo Units</t>
  </si>
  <si>
    <t>NA</t>
  </si>
  <si>
    <t>801 South Hope Street</t>
  </si>
  <si>
    <t>409</t>
  </si>
  <si>
    <t>8th &amp; Hope Commercial</t>
  </si>
  <si>
    <t>Axio Code</t>
  </si>
  <si>
    <t>13393 &amp; 16959</t>
  </si>
  <si>
    <t>14456 &amp; 14455</t>
  </si>
  <si>
    <t>35922 &amp; 35637</t>
  </si>
  <si>
    <t>55819 &amp; 55820</t>
  </si>
  <si>
    <t>34671 &amp; 43077</t>
  </si>
  <si>
    <t>13020 &amp; 25371</t>
  </si>
  <si>
    <t>34818 &amp; 35852</t>
  </si>
  <si>
    <t>42835 &amp; 13528</t>
  </si>
  <si>
    <t>1196 &amp; 9867 &amp; 9859</t>
  </si>
  <si>
    <t>1194 &amp; 20307</t>
  </si>
  <si>
    <t>9167 &amp; 1185</t>
  </si>
  <si>
    <t>3387 &amp; 1171</t>
  </si>
  <si>
    <t>11042 &amp; 11041</t>
  </si>
  <si>
    <t>14448 &amp; 14447 &amp; 14449</t>
  </si>
  <si>
    <t>13326 &amp; 13327</t>
  </si>
  <si>
    <t>1448 &amp; 1449</t>
  </si>
  <si>
    <t>57155 &amp; 17946</t>
  </si>
  <si>
    <t>1145 &amp; 18273</t>
  </si>
  <si>
    <t>2019</t>
  </si>
  <si>
    <t>Oakpoint</t>
  </si>
  <si>
    <t>470</t>
  </si>
  <si>
    <t>Brio</t>
  </si>
  <si>
    <t>161 North Civic Drive</t>
  </si>
  <si>
    <t>BRIO</t>
  </si>
  <si>
    <t>Jamie Matthews / Suzanne Bachler</t>
  </si>
  <si>
    <t>Crystal Rodgers / Lisa Scroggin</t>
  </si>
  <si>
    <t>Ali Ghatala</t>
  </si>
  <si>
    <t>Marc Trerotola</t>
  </si>
  <si>
    <t>Amir Sheikh</t>
  </si>
  <si>
    <t>Richard Chapman</t>
  </si>
  <si>
    <t>Brent Christianson</t>
  </si>
  <si>
    <t>Brian Nelson / Selena Kerr</t>
  </si>
  <si>
    <t>Davina Slusher</t>
  </si>
  <si>
    <t>Maggie Angulo / Bridgit Susim</t>
  </si>
  <si>
    <t>Erica Rangel</t>
  </si>
  <si>
    <t>Kim Levesque / Melissa Gerard</t>
  </si>
  <si>
    <t>Cynthia Cifuentes /Josh Foley</t>
  </si>
  <si>
    <t>Mayte Nieto / Shannen Floyd</t>
  </si>
  <si>
    <t>Christina Ingersoll / Melissa Downs</t>
  </si>
  <si>
    <t>Robyn Inaba / Charla Neta</t>
  </si>
  <si>
    <t xml:space="preserve">Marc Trerotola    </t>
  </si>
  <si>
    <t>Andrea Walker / Abigail Dizon</t>
  </si>
  <si>
    <t>Mylo</t>
  </si>
  <si>
    <t>3710 El Camino Real</t>
  </si>
  <si>
    <t>Balance Sheet</t>
  </si>
  <si>
    <t>Division</t>
  </si>
  <si>
    <t>Stabilizedmonth</t>
  </si>
  <si>
    <t>Yardi Code Number</t>
  </si>
  <si>
    <t>BMR-18% &amp; RC-100%</t>
  </si>
  <si>
    <t>31 &amp; 171</t>
  </si>
  <si>
    <t>Courtyards at 65th</t>
  </si>
  <si>
    <t>1465 65th Street</t>
  </si>
  <si>
    <t>Courtyards at 65th Commercial</t>
  </si>
  <si>
    <t>777 Hamilton</t>
  </si>
  <si>
    <t>777 Hamilton Avenue</t>
  </si>
  <si>
    <t>Menlo Park</t>
  </si>
  <si>
    <t>PalmValley(EPLP)</t>
  </si>
  <si>
    <t>Palm Valley</t>
  </si>
  <si>
    <t>460</t>
  </si>
  <si>
    <t>345jv</t>
  </si>
  <si>
    <t>260</t>
  </si>
  <si>
    <t>346jv</t>
  </si>
  <si>
    <t>461</t>
  </si>
  <si>
    <t>Township</t>
  </si>
  <si>
    <t>393</t>
  </si>
  <si>
    <t>BMR - 13%</t>
  </si>
  <si>
    <t/>
  </si>
  <si>
    <t>Esplanade San Diego</t>
  </si>
  <si>
    <t>Esplanade San Jose</t>
  </si>
  <si>
    <t>Carrie Hughes</t>
  </si>
  <si>
    <t>Alicia Williams</t>
  </si>
  <si>
    <t>Velo and Ray</t>
  </si>
  <si>
    <t>Velo built in 2014, Ray 2015</t>
  </si>
  <si>
    <t>424</t>
  </si>
  <si>
    <t>(i) 3635 Woodland Park Avenue N, Seattle, WA and (ii) 3651 Interlake Avenue N</t>
  </si>
  <si>
    <t>Blake LA, The</t>
  </si>
  <si>
    <t>Skye</t>
  </si>
  <si>
    <t>Bunker Hill Towers</t>
  </si>
  <si>
    <t>BEX IV</t>
  </si>
  <si>
    <t>364</t>
  </si>
  <si>
    <t>Epic</t>
  </si>
  <si>
    <t>Pure</t>
  </si>
  <si>
    <t>2020</t>
  </si>
  <si>
    <t>478</t>
  </si>
  <si>
    <t>Pure Commercial</t>
  </si>
  <si>
    <t>Cynthia Cifuentes</t>
  </si>
  <si>
    <t>Bailey Brown</t>
  </si>
  <si>
    <t>Vanessa Liclican</t>
  </si>
  <si>
    <t>500 Folsom (493-497)</t>
  </si>
  <si>
    <t>477</t>
  </si>
  <si>
    <t>Crystal Rodgers</t>
  </si>
  <si>
    <t>Patina at Midtown</t>
  </si>
  <si>
    <t>425</t>
  </si>
  <si>
    <t>Velo and Ray Commercial</t>
  </si>
  <si>
    <t>493</t>
  </si>
  <si>
    <t>496</t>
  </si>
  <si>
    <t>497</t>
  </si>
  <si>
    <t>Other 500 Folsom 1</t>
  </si>
  <si>
    <t>Other 500 Folsom 2</t>
  </si>
  <si>
    <t>Other 500 Folsom 3</t>
  </si>
  <si>
    <t>James Zhou / Charla Neta</t>
  </si>
  <si>
    <t>Robyn Inaba</t>
  </si>
  <si>
    <t>https://essexpropertytrust.sharepoint.com/sites/fileshare/Shared%20Documents/AssetMgmt/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</si>
</sst>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00"/>
    <numFmt numFmtId="165" formatCode="_-* #,##0_-;\-* #,##0_-;_-* &quot;-&quot;??_-;_-@_-"/>
    <numFmt numFmtId="166" formatCode="yyyy\-mm\-dd;@"/>
    <numFmt numFmtId="167" formatCode="0.0"/>
  </numFmts>
  <fonts count="1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 tint="0.249977111117893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FFFFFF"/>
      <name val="Calibri"/>
      <family val="2"/>
    </font>
    <font>
      <sz val="9"/>
      <color indexed="8"/>
      <name val="Tahoma"/>
      <family val="2"/>
    </font>
    <font>
      <sz val="1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rgb="FF404040"/>
      <name val="Arial"/>
      <family val="2"/>
    </font>
    <font>
      <sz val="9"/>
      <color rgb="FF999999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0404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theme="6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theme="6"/>
      </bottom>
      <diagonal/>
    </border>
    <border>
      <left/>
      <right/>
      <top style="thin">
        <color theme="6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0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2" fillId="0" borderId="0"/>
    <xf numFmtId="0" fontId="5" fillId="0" borderId="0"/>
    <xf numFmtId="0" fontId="1" fillId="0" borderId="0"/>
    <xf numFmtId="0" fontId="14" fillId="0" borderId="0" applyNumberFormat="0" applyFill="0" applyBorder="0" applyAlignment="0" applyProtection="0"/>
  </cellStyleXfs>
  <cellXfs count="54">
    <xf numFmtId="0" fontId="0" fillId="0" borderId="0" xfId="0"/>
    <xf numFmtId="0" fontId="4" fillId="0" borderId="0" xfId="0" applyFont="1"/>
    <xf numFmtId="0" fontId="0" fillId="0" borderId="0" xfId="0" quotePrefix="1"/>
    <xf numFmtId="0" fontId="0" fillId="0" borderId="0" xfId="0" applyAlignment="1">
      <alignment vertical="center"/>
    </xf>
    <xf numFmtId="0" fontId="6" fillId="2" borderId="0" xfId="8" applyFont="1" applyFill="1" applyAlignment="1">
      <alignment horizontal="left" vertical="center"/>
    </xf>
    <xf numFmtId="0" fontId="7" fillId="0" borderId="0" xfId="6" applyFont="1" applyAlignment="1">
      <alignment horizontal="left" vertical="top" wrapText="1"/>
    </xf>
    <xf numFmtId="0" fontId="7" fillId="0" borderId="0" xfId="6" applyFont="1" applyAlignment="1">
      <alignment horizontal="left" vertical="top"/>
    </xf>
    <xf numFmtId="0" fontId="6" fillId="2" borderId="3" xfId="8" applyFont="1" applyFill="1" applyBorder="1" applyAlignment="1">
      <alignment horizontal="left" vertical="center"/>
    </xf>
    <xf numFmtId="0" fontId="0" fillId="0" borderId="3" xfId="0" applyBorder="1"/>
    <xf numFmtId="3" fontId="0" fillId="0" borderId="3" xfId="0" applyNumberFormat="1" applyBorder="1"/>
    <xf numFmtId="10" fontId="0" fillId="0" borderId="3" xfId="0" applyNumberFormat="1" applyBorder="1"/>
    <xf numFmtId="3" fontId="0" fillId="0" borderId="0" xfId="0" applyNumberFormat="1"/>
    <xf numFmtId="10" fontId="0" fillId="0" borderId="0" xfId="0" applyNumberFormat="1"/>
    <xf numFmtId="0" fontId="0" fillId="0" borderId="2" xfId="0" applyBorder="1"/>
    <xf numFmtId="3" fontId="0" fillId="0" borderId="2" xfId="0" applyNumberFormat="1" applyBorder="1"/>
    <xf numFmtId="10" fontId="0" fillId="0" borderId="2" xfId="0" applyNumberFormat="1" applyBorder="1"/>
    <xf numFmtId="14" fontId="0" fillId="0" borderId="0" xfId="0" applyNumberFormat="1"/>
    <xf numFmtId="0" fontId="6" fillId="2" borderId="1" xfId="8" applyFont="1" applyFill="1" applyBorder="1" applyAlignment="1">
      <alignment horizontal="left" vertical="center"/>
    </xf>
    <xf numFmtId="165" fontId="8" fillId="0" borderId="0" xfId="4" applyNumberFormat="1" applyFont="1"/>
    <xf numFmtId="0" fontId="4" fillId="0" borderId="0" xfId="0" applyFont="1" applyBorder="1"/>
    <xf numFmtId="164" fontId="4" fillId="0" borderId="0" xfId="0" applyNumberFormat="1" applyFont="1" applyBorder="1"/>
    <xf numFmtId="0" fontId="4" fillId="0" borderId="0" xfId="0" applyFont="1" applyBorder="1" applyAlignment="1">
      <alignment horizontal="right"/>
    </xf>
    <xf numFmtId="0" fontId="6" fillId="2" borderId="0" xfId="8" applyFont="1" applyFill="1" applyBorder="1" applyAlignment="1">
      <alignment horizontal="left" vertical="center"/>
    </xf>
    <xf numFmtId="0" fontId="6" fillId="2" borderId="0" xfId="8" applyFont="1" applyFill="1" applyBorder="1" applyAlignment="1">
      <alignment horizontal="right" vertical="center"/>
    </xf>
    <xf numFmtId="0" fontId="0" fillId="0" borderId="0" xfId="0" applyBorder="1"/>
    <xf numFmtId="14" fontId="4" fillId="0" borderId="0" xfId="0" applyNumberFormat="1" applyFont="1" applyBorder="1"/>
    <xf numFmtId="0" fontId="11" fillId="0" borderId="0" xfId="0" applyNumberFormat="1" applyFont="1" applyFill="1" applyBorder="1"/>
    <xf numFmtId="0" fontId="4" fillId="3" borderId="0" xfId="0" applyFont="1" applyFill="1" applyBorder="1" applyAlignment="1">
      <alignment horizontal="right"/>
    </xf>
    <xf numFmtId="0" fontId="4" fillId="4" borderId="0" xfId="0" applyFont="1" applyFill="1" applyBorder="1"/>
    <xf numFmtId="14" fontId="4" fillId="4" borderId="0" xfId="0" applyNumberFormat="1" applyFont="1" applyFill="1" applyBorder="1"/>
    <xf numFmtId="0" fontId="4" fillId="0" borderId="0" xfId="0" applyFont="1" applyFill="1" applyBorder="1"/>
    <xf numFmtId="0" fontId="4" fillId="0" borderId="0" xfId="0" applyNumberFormat="1" applyFont="1" applyFill="1" applyBorder="1"/>
    <xf numFmtId="166" fontId="4" fillId="0" borderId="0" xfId="0" applyNumberFormat="1" applyFont="1" applyFill="1" applyBorder="1"/>
    <xf numFmtId="164" fontId="4" fillId="0" borderId="0" xfId="0" applyNumberFormat="1" applyFont="1" applyFill="1" applyBorder="1"/>
    <xf numFmtId="14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3" fontId="4" fillId="0" borderId="0" xfId="0" applyNumberFormat="1" applyFont="1" applyBorder="1"/>
    <xf numFmtId="3" fontId="4" fillId="0" borderId="0" xfId="0" applyNumberFormat="1" applyFont="1" applyFill="1" applyBorder="1"/>
    <xf numFmtId="0" fontId="4" fillId="0" borderId="0" xfId="0" applyNumberFormat="1" applyFont="1" applyBorder="1"/>
    <xf numFmtId="3" fontId="4" fillId="5" borderId="0" xfId="0" applyNumberFormat="1" applyFont="1" applyFill="1" applyBorder="1"/>
    <xf numFmtId="14" fontId="4" fillId="5" borderId="0" xfId="0" applyNumberFormat="1" applyFont="1" applyFill="1" applyBorder="1"/>
    <xf numFmtId="49" fontId="6" fillId="2" borderId="0" xfId="8" applyNumberFormat="1" applyFont="1" applyFill="1" applyBorder="1" applyAlignment="1">
      <alignment horizontal="left" vertical="center"/>
    </xf>
    <xf numFmtId="49" fontId="4" fillId="0" borderId="0" xfId="0" applyNumberFormat="1" applyFont="1" applyBorder="1"/>
    <xf numFmtId="49" fontId="4" fillId="0" borderId="0" xfId="0" applyNumberFormat="1" applyFont="1" applyFill="1" applyBorder="1"/>
    <xf numFmtId="49" fontId="0" fillId="0" borderId="0" xfId="0" applyNumberFormat="1" applyBorder="1"/>
    <xf numFmtId="49" fontId="4" fillId="0" borderId="0" xfId="0" quotePrefix="1" applyNumberFormat="1" applyFont="1" applyFill="1" applyBorder="1"/>
    <xf numFmtId="49" fontId="4" fillId="0" borderId="0" xfId="0" quotePrefix="1" applyNumberFormat="1" applyFont="1" applyBorder="1"/>
    <xf numFmtId="0" fontId="12" fillId="0" borderId="0" xfId="0" applyFont="1"/>
    <xf numFmtId="0" fontId="4" fillId="0" borderId="0" xfId="0" applyFont="1" applyFill="1"/>
    <xf numFmtId="0" fontId="4" fillId="0" borderId="0" xfId="0" applyNumberFormat="1" applyFont="1" applyFill="1"/>
    <xf numFmtId="49" fontId="4" fillId="0" borderId="4" xfId="0" applyNumberFormat="1" applyFont="1" applyBorder="1"/>
    <xf numFmtId="167" fontId="4" fillId="0" borderId="0" xfId="0" applyNumberFormat="1" applyFont="1" applyBorder="1"/>
    <xf numFmtId="0" fontId="14" fillId="0" borderId="0" xfId="9" applyBorder="1"/>
  </cellXfs>
  <cellStyles count="10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Hyperlink" xfId="9" builtinId="8"/>
    <cellStyle name="Normal" xfId="0" builtinId="0"/>
    <cellStyle name="Normal 2" xfId="6" xr:uid="{00000000-0005-0000-0000-000005000000}"/>
    <cellStyle name="Normal 3" xfId="7" xr:uid="{05C45E0A-E3E5-404F-8749-F08A49500DD9}"/>
    <cellStyle name="Normal 38" xfId="8" xr:uid="{98F02755-D2E6-4B96-A82F-AA5DEF562246}"/>
    <cellStyle name="Percent" xfId="1" xr:uid="{00000000-0005-0000-0000-000006000000}"/>
  </cellStyles>
  <dxfs count="70">
    <dxf>
      <font>
        <strike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fill>
        <patternFill patternType="none">
          <bgColor auto="1"/>
        </patternFill>
      </fill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000000"/>
          <bgColor rgb="FF40404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numFmt numFmtId="0" formatCode="General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numFmt numFmtId="0" formatCode="General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numFmt numFmtId="0" formatCode="General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numFmt numFmtId="0" formatCode="General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numFmt numFmtId="0" formatCode="General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numFmt numFmtId="0" formatCode="General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numFmt numFmtId="0" formatCode="General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numFmt numFmtId="0" formatCode="General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numFmt numFmtId="0" formatCode="General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numFmt numFmtId="0" formatCode="General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000000"/>
          <bgColor rgb="FF404040"/>
        </patternFill>
      </fill>
      <alignment horizontal="left" vertical="center" textRotation="0" wrapText="0" indent="0" justifyLastLine="0" shrinkToFit="0" readingOrder="0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04040"/>
        <name val="Arial"/>
        <family val="2"/>
        <scheme val="none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numFmt numFmtId="30" formatCode="@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numFmt numFmtId="164" formatCode="#,##0.0000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numFmt numFmtId="166" formatCode="yyyy\-mm\-dd;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numFmt numFmtId="166" formatCode="yyyy\-mm\-dd;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numFmt numFmtId="166" formatCode="yyyy\-mm\-dd;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numFmt numFmtId="166" formatCode="yyyy\-mm\-dd;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numFmt numFmtId="166" formatCode="yyyy\-mm\-dd;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numFmt numFmtId="166" formatCode="yyyy\-mm\-dd;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Arial"/>
        <family val="2"/>
        <scheme val="none"/>
      </font>
      <numFmt numFmtId="30" formatCode="@"/>
      <fill>
        <patternFill patternType="none">
          <bgColor auto="1"/>
        </patternFill>
      </fill>
    </dxf>
    <dxf>
      <border outline="0">
        <top style="thin">
          <color rgb="FF000000"/>
        </top>
        <bottom style="thin">
          <color rgb="FFA5A5A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04040"/>
        <name val="Arial"/>
        <family val="2"/>
        <scheme val="none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000000"/>
          <bgColor rgb="FF40404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16700F3-BC60-4ACB-8B74-8BFDE4D8EFEB}" name="PropInfo" displayName="PropInfo" ref="A2:AQ325" totalsRowShown="0" headerRowDxfId="69" dataDxfId="68" tableBorderDxfId="67" headerRowCellStyle="Normal 38">
  <autoFilter ref="A2:AQ325" xr:uid="{625E5FCB-C90E-4C40-952C-B8C8CC9969AB}">
    <filterColumn colId="37">
      <filters>
        <filter val="003"/>
        <filter val="006"/>
        <filter val="007"/>
        <filter val="009"/>
        <filter val="011"/>
        <filter val="012"/>
        <filter val="017"/>
        <filter val="018"/>
        <filter val="020"/>
        <filter val="022"/>
        <filter val="023"/>
        <filter val="025"/>
        <filter val="027"/>
        <filter val="028"/>
        <filter val="030"/>
        <filter val="031"/>
        <filter val="032"/>
        <filter val="033"/>
        <filter val="034"/>
        <filter val="035"/>
        <filter val="036"/>
        <filter val="040"/>
        <filter val="041"/>
        <filter val="042"/>
        <filter val="050"/>
        <filter val="051"/>
        <filter val="055"/>
        <filter val="056"/>
        <filter val="058"/>
        <filter val="061"/>
        <filter val="063"/>
        <filter val="066"/>
        <filter val="068"/>
        <filter val="069"/>
        <filter val="070"/>
        <filter val="071"/>
        <filter val="073"/>
        <filter val="074"/>
        <filter val="078"/>
        <filter val="079"/>
        <filter val="080"/>
        <filter val="083"/>
        <filter val="084"/>
        <filter val="086"/>
        <filter val="087"/>
        <filter val="092"/>
        <filter val="093"/>
        <filter val="094"/>
        <filter val="095"/>
        <filter val="096"/>
        <filter val="100"/>
        <filter val="102"/>
        <filter val="103"/>
        <filter val="106"/>
        <filter val="108"/>
        <filter val="109"/>
        <filter val="110"/>
        <filter val="111"/>
        <filter val="112"/>
        <filter val="113"/>
        <filter val="115"/>
        <filter val="116"/>
        <filter val="117"/>
        <filter val="118"/>
        <filter val="121"/>
        <filter val="123"/>
        <filter val="127"/>
        <filter val="128"/>
        <filter val="129"/>
        <filter val="130"/>
        <filter val="131"/>
        <filter val="132"/>
        <filter val="133"/>
        <filter val="134"/>
        <filter val="135"/>
        <filter val="136"/>
        <filter val="137"/>
        <filter val="141"/>
        <filter val="144"/>
        <filter val="145"/>
        <filter val="146"/>
        <filter val="147"/>
        <filter val="148"/>
        <filter val="149"/>
        <filter val="150"/>
        <filter val="151"/>
        <filter val="158"/>
        <filter val="161"/>
        <filter val="162"/>
        <filter val="163"/>
        <filter val="164"/>
        <filter val="166"/>
        <filter val="167"/>
        <filter val="168"/>
        <filter val="169"/>
        <filter val="170"/>
        <filter val="171"/>
        <filter val="172"/>
        <filter val="178"/>
        <filter val="180"/>
        <filter val="186"/>
        <filter val="187"/>
        <filter val="194"/>
        <filter val="197"/>
        <filter val="198"/>
        <filter val="210"/>
        <filter val="211"/>
        <filter val="215"/>
        <filter val="218"/>
        <filter val="219"/>
        <filter val="220"/>
        <filter val="223"/>
        <filter val="224"/>
        <filter val="225"/>
        <filter val="226"/>
        <filter val="229"/>
        <filter val="232"/>
        <filter val="239"/>
        <filter val="241"/>
        <filter val="242"/>
        <filter val="244"/>
        <filter val="245"/>
        <filter val="246"/>
        <filter val="247"/>
        <filter val="260"/>
        <filter val="292"/>
        <filter val="299"/>
        <filter val="302"/>
        <filter val="303"/>
        <filter val="313"/>
        <filter val="329"/>
        <filter val="332"/>
        <filter val="333"/>
        <filter val="336"/>
        <filter val="338"/>
        <filter val="345"/>
        <filter val="351"/>
        <filter val="352"/>
        <filter val="353"/>
        <filter val="354"/>
        <filter val="355"/>
        <filter val="356"/>
        <filter val="357"/>
        <filter val="359"/>
        <filter val="362"/>
        <filter val="365"/>
        <filter val="368"/>
        <filter val="371"/>
        <filter val="380"/>
        <filter val="381"/>
        <filter val="382"/>
        <filter val="386"/>
        <filter val="387"/>
        <filter val="388"/>
        <filter val="390"/>
        <filter val="391"/>
        <filter val="392"/>
        <filter val="393"/>
        <filter val="395"/>
        <filter val="396"/>
        <filter val="397"/>
        <filter val="398"/>
        <filter val="399"/>
        <filter val="400"/>
        <filter val="403"/>
        <filter val="405"/>
        <filter val="406"/>
        <filter val="407"/>
        <filter val="411"/>
        <filter val="412"/>
        <filter val="413"/>
        <filter val="414"/>
        <filter val="415"/>
        <filter val="418"/>
        <filter val="419"/>
        <filter val="420"/>
        <filter val="422"/>
        <filter val="423"/>
        <filter val="424"/>
        <filter val="460"/>
        <filter val="463"/>
        <filter val="465"/>
        <filter val="468"/>
        <filter val="469"/>
        <filter val="470"/>
        <filter val="473"/>
        <filter val="474"/>
        <filter val="475"/>
        <filter val="476"/>
        <filter val="479"/>
        <filter val="482"/>
        <filter val="490"/>
        <filter val="495"/>
        <filter val="498"/>
        <filter val="504"/>
        <filter val="505"/>
        <filter val="506"/>
        <filter val="508"/>
        <filter val="514"/>
        <filter val="516"/>
        <filter val="517"/>
        <filter val="518"/>
        <filter val="519"/>
        <filter val="520"/>
        <filter val="521"/>
        <filter val="523"/>
        <filter val="527"/>
        <filter val="528"/>
        <filter val="530"/>
        <filter val="531"/>
        <filter val="533"/>
        <filter val="534"/>
        <filter val="535"/>
        <filter val="536"/>
        <filter val="537"/>
        <filter val="538"/>
        <filter val="539"/>
        <filter val="540"/>
        <filter val="541"/>
        <filter val="542"/>
        <filter val="543"/>
        <filter val="544"/>
        <filter val="545"/>
        <filter val="547"/>
        <filter val="548"/>
        <filter val="549"/>
        <filter val="550"/>
        <filter val="551"/>
        <filter val="552"/>
        <filter val="554"/>
        <filter val="555"/>
        <filter val="557"/>
        <filter val="558"/>
        <filter val="560"/>
        <filter val="561"/>
        <filter val="562"/>
        <filter val="563"/>
        <filter val="564"/>
        <filter val="565"/>
        <filter val="566"/>
        <filter val="568"/>
        <filter val="570"/>
        <filter val="571"/>
        <filter val="572"/>
        <filter val="573"/>
        <filter val="575"/>
        <filter val="577"/>
        <filter val="580"/>
        <filter val="581"/>
        <filter val="582"/>
      </filters>
    </filterColumn>
  </autoFilter>
  <sortState ref="A3:AQ325">
    <sortCondition ref="AL2:AL325"/>
  </sortState>
  <tableColumns count="43">
    <tableColumn id="1" xr3:uid="{DA325E74-72D1-4948-9F48-E57AD66541E5}" name="Yardi" dataDxfId="66"/>
    <tableColumn id="2" xr3:uid="{9E545C88-A307-4623-8EC2-E6FF7936E4CF}" name="Property" dataDxfId="65"/>
    <tableColumn id="28" xr3:uid="{F75463B2-E520-4CAC-A510-0094D262D556}" name="Units" dataDxfId="64"/>
    <tableColumn id="32" xr3:uid="{BCD608A6-BC5B-462A-B4CF-B1C623BEE138}" name="TotalSqft" dataDxfId="63"/>
    <tableColumn id="37" xr3:uid="{21DB3751-6F2C-40C9-958E-DC173DADD4C3}" name="Store" dataDxfId="62"/>
    <tableColumn id="38" xr3:uid="{A319EBDF-2CE9-4080-A42E-107E8CB95A6B}" name="Status" dataDxfId="61"/>
    <tableColumn id="3" xr3:uid="{7CCDAA3B-1011-4DC4-B21C-03976A43178C}" name="Type" dataDxfId="60"/>
    <tableColumn id="42" xr3:uid="{4E497B68-E526-4D83-8FD6-835418B63E03}" name="Balance Sheet" dataDxfId="59"/>
    <tableColumn id="12" xr3:uid="{8D689175-5FD6-4EF6-B1D4-2F77F9F026F0}" name="Address" dataDxfId="58"/>
    <tableColumn id="13" xr3:uid="{CC50AB9A-14CE-4D6F-BB97-A3F836D43183}" name="City" dataDxfId="57"/>
    <tableColumn id="14" xr3:uid="{451A8D01-E9F3-41F0-B9B8-4DC6B194686B}" name="State" dataDxfId="56"/>
    <tableColumn id="15" xr3:uid="{BA6978E3-B06D-4841-98DB-E5F640F33F9B}" name="Zip" dataDxfId="55"/>
    <tableColumn id="40" xr3:uid="{8E3CBF37-C821-46CF-80F5-29994696F08F}" name="Latitude" dataDxfId="54"/>
    <tableColumn id="41" xr3:uid="{A0ED6287-685E-449B-8B1F-3B01C4195511}" name="Longitude" dataDxfId="53"/>
    <tableColumn id="23" xr3:uid="{4BE826D5-86BA-46D9-A574-C18C787172AD}" name="Region" dataDxfId="52"/>
    <tableColumn id="36" xr3:uid="{AA78C4EF-2370-4391-B1B0-20741699EA87}" name="Division" dataDxfId="51"/>
    <tableColumn id="24" xr3:uid="{1968B3D7-226D-45FD-A16B-4ADA0DD641C4}" name="MSA" dataDxfId="50"/>
    <tableColumn id="25" xr3:uid="{331B2B35-0E86-4FA5-86C4-7883ACC1A886}" name="County" dataDxfId="49"/>
    <tableColumn id="26" xr3:uid="{5F6B2FE2-712C-4C0C-ABD5-E0B0FBDF75DE}" name="ESS_Submarket" dataDxfId="48"/>
    <tableColumn id="27" xr3:uid="{E0E75869-F300-4753-9228-D791067793B1}" name="Axio_Submarket-New" dataDxfId="47"/>
    <tableColumn id="4" xr3:uid="{6BE2041E-E5F2-4D51-9B92-4F1F15B6549E}" name="AcqType" dataDxfId="46"/>
    <tableColumn id="5" xr3:uid="{85627A9B-778F-4264-BF76-166286FA18F1}" name="OwnerEntity" dataDxfId="45"/>
    <tableColumn id="6" xr3:uid="{1043879A-14DE-47E4-BA39-0D776F769695}" name="OwnerPercentage" dataDxfId="44"/>
    <tableColumn id="7" xr3:uid="{14A921A3-E617-48FA-A4F6-FD0D67782F23}" name="Built" dataDxfId="43"/>
    <tableColumn id="8" xr3:uid="{6F5D5FF5-9496-4007-BAA7-A4695C5734E9}" name="AcqYear" dataDxfId="42"/>
    <tableColumn id="10" xr3:uid="{C5210B36-B29C-410A-A072-2F0AF596051D}" name="AcqDate" dataDxfId="41"/>
    <tableColumn id="16" xr3:uid="{45373993-AC59-4501-BC0B-3A25BE3DC325}" name="StabilizedYear" dataDxfId="40"/>
    <tableColumn id="11" xr3:uid="{E1A78678-36CC-46E1-9F21-D2BA01B8F0E1}" name="Stabilizedmonth" dataDxfId="39"/>
    <tableColumn id="18" xr3:uid="{D84C9EEC-FD37-40C6-9886-809345431A7B}" name="BuildingType" dataDxfId="38"/>
    <tableColumn id="19" xr3:uid="{D5D12A88-AAAB-4F3F-BF2C-5B7B2CF9BACC}" name="Construction" dataDxfId="37"/>
    <tableColumn id="9" xr3:uid="{15AF2C82-4C74-4872-8E7C-C2CC91AB035F}" name="Condo Units" dataDxfId="36"/>
    <tableColumn id="20" xr3:uid="{8B3DD5BF-517E-4C01-BE33-3D96F28A587E}" name="Stories" dataDxfId="35"/>
    <tableColumn id="21" xr3:uid="{30FE7CC3-1BF4-451F-857C-67E1FC10D02D}" name="Buildings" dataDxfId="34"/>
    <tableColumn id="22" xr3:uid="{D1C47857-23E1-4B36-9125-C2D47AB787C6}" name="Class" dataDxfId="33"/>
    <tableColumn id="29" xr3:uid="{2D262273-AD07-46C0-98EB-87FC655A9FCB}" name="BMRType" dataDxfId="32"/>
    <tableColumn id="30" xr3:uid="{134AF608-042F-4BD5-A9EB-C2E0114C740E}" name="BMRUnits" dataDxfId="31"/>
    <tableColumn id="31" xr3:uid="{48FF5353-80E6-4C6F-966F-8BEF04076755}" name="BMRExpiration" dataDxfId="30"/>
    <tableColumn id="33" xr3:uid="{3BDC09A5-B01D-4CD2-B02C-30DC62EC1009}" name="HRDeptCode" dataDxfId="29"/>
    <tableColumn id="34" xr3:uid="{27CAF2FF-C071-42A9-8FD4-6D6476ACCB5C}" name="Collection_Number" dataDxfId="28"/>
    <tableColumn id="35" xr3:uid="{392F0D53-416F-4BF8-82AB-D2F844347619}" name="Collected_Status" dataDxfId="27"/>
    <tableColumn id="39" xr3:uid="{BA9EA4AE-1D03-4971-83E0-38771D581DB6}" name="RPM" dataDxfId="26"/>
    <tableColumn id="17" xr3:uid="{36E2288D-0BA7-49C8-80C2-927FA538BDF6}" name="Axio Code" dataDxfId="25"/>
    <tableColumn id="43" xr3:uid="{FAA5D54C-BBC5-4911-A929-371092BB9BAA}" name="Yardi Code Number" dataDxfId="24">
      <calculatedColumnFormula>IFERROR(PropInfo[[#This Row],[Yardi]]*1,PropInfo[[#This Row],[Yardi]])</calculatedColumnFormula>
    </tableColumn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0A06E2-A97D-4143-813D-53FD0C2116DB}" name="DispoInfo" displayName="DispoInfo" ref="A1:AG44" totalsRowShown="0">
  <autoFilter ref="A1:AG44" xr:uid="{AC4E332F-4CB9-48B8-8B91-69F7EE138E1B}"/>
  <tableColumns count="33">
    <tableColumn id="1" xr3:uid="{DC4E2283-A7B1-418E-A740-2845CBBF6E20}" name="Yardi"/>
    <tableColumn id="2" xr3:uid="{7B28F7DD-645F-4633-B15C-17A4E0C3C7EF}" name="Property"/>
    <tableColumn id="3" xr3:uid="{057451AF-A2D8-4205-A903-7D7268E76F4F}" name="Type"/>
    <tableColumn id="4" xr3:uid="{D46490BF-327B-4D69-93C7-8000FCA74BEC}" name="AcqType"/>
    <tableColumn id="5" xr3:uid="{8D7DEA08-9AC8-436C-B696-AF86EB99DC45}" name="OwnerEntity"/>
    <tableColumn id="6" xr3:uid="{862ABA01-2059-4D93-B63E-847A04A1F499}" name="OwnerPercentage"/>
    <tableColumn id="7" xr3:uid="{E538E230-86D9-4FF2-B493-791EFC6265EE}" name="Built"/>
    <tableColumn id="8" xr3:uid="{09342F33-E1D4-4C96-921D-1E0FF8A453B0}" name="Acquired"/>
    <tableColumn id="9" xr3:uid="{94FF9921-E00E-4695-9ABD-39BE33A9C226}" name="Stabilized"/>
    <tableColumn id="10" xr3:uid="{EAB3297F-39DE-4A29-8A45-37E360A516A7}" name="DispDate" dataDxfId="23"/>
    <tableColumn id="11" xr3:uid="{05086957-A2E6-463E-9972-D11032DF2997}" name="StabilizedDate"/>
    <tableColumn id="12" xr3:uid="{8E78289B-6671-404A-836D-B9C231040027}" name="Address"/>
    <tableColumn id="13" xr3:uid="{B8BD88C2-50DA-434B-9CE9-99674078A60C}" name="City"/>
    <tableColumn id="14" xr3:uid="{21F64810-1262-42AC-9D25-98E32EF86463}" name="State"/>
    <tableColumn id="15" xr3:uid="{21355B7A-E1B5-4A7A-A71A-6095979472E4}" name="Zip"/>
    <tableColumn id="16" xr3:uid="{D5B1ED79-A279-4FAB-AF24-2203D20A03EC}" name="Latitude"/>
    <tableColumn id="17" xr3:uid="{D5C84D79-3EE4-43B4-8B28-033FBA994C7A}" name="Longitude"/>
    <tableColumn id="18" xr3:uid="{EA14E6E2-DA74-4EC2-A90C-165FB51448A3}" name="BuildingType"/>
    <tableColumn id="19" xr3:uid="{C26C4D99-4B9D-4475-8B68-E9F23BB40A0E}" name="Construction"/>
    <tableColumn id="20" xr3:uid="{C04275BE-511F-4549-9951-A56EA876E13F}" name="Stories"/>
    <tableColumn id="21" xr3:uid="{F7B1265D-337D-4B55-AB43-7E7237BB2953}" name="Buildings"/>
    <tableColumn id="22" xr3:uid="{97829716-CED0-45E2-B3B2-67E6894DF3C8}" name="Class"/>
    <tableColumn id="23" xr3:uid="{4F44F91E-0F15-4F87-B11E-A6F7B8638C5F}" name="Region"/>
    <tableColumn id="24" xr3:uid="{4A62F3FE-B3E6-4E6C-A96D-35A06866371C}" name="MSA"/>
    <tableColumn id="25" xr3:uid="{8150592E-0684-479C-8CD7-57CA1018C783}" name="County"/>
    <tableColumn id="26" xr3:uid="{A71B07C5-340B-4E48-A71E-DBAC51F6851A}" name="ESS_Submarket"/>
    <tableColumn id="27" xr3:uid="{155A1FAD-9642-4613-BD05-268E6E0DD805}" name="Axio_Submarket-New"/>
    <tableColumn id="28" xr3:uid="{60EAD3DA-33E7-4740-BD63-0E07812C2FBC}" name="Units"/>
    <tableColumn id="29" xr3:uid="{35F7E6C6-E842-4EB6-9A14-0A5A91713871}" name="BMRType"/>
    <tableColumn id="30" xr3:uid="{34FFCBB1-AED4-433E-81D7-845C8C266B77}" name="BMRUnits"/>
    <tableColumn id="31" xr3:uid="{9F84840D-FD29-489F-9FF5-636FD0DA8BB8}" name="BMRExpiration"/>
    <tableColumn id="32" xr3:uid="{226A8954-9D69-42E1-8759-9666B9B13513}" name="TotalSqft"/>
    <tableColumn id="33" xr3:uid="{AFF1117E-011E-490F-A3F3-E6D5D089472E}" name="HRDeptCode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0FF90F-8904-4628-8B11-3A05CF9F79B3}" name="SameStore" displayName="SameStore" ref="A1:O264" totalsRowShown="0" headerRowDxfId="22" dataDxfId="21" headerRowCellStyle="Normal 38">
  <autoFilter ref="A1:O264" xr:uid="{676BA732-EE5E-4A8F-83A2-7427511501DB}"/>
  <sortState ref="A2:O252">
    <sortCondition ref="M1:M252"/>
  </sortState>
  <tableColumns count="15">
    <tableColumn id="1" xr3:uid="{0590724A-5A46-47A0-923E-9915FB74DAA3}" name="Yardi" dataDxfId="20"/>
    <tableColumn id="2" xr3:uid="{94A35B54-0E3A-4BA4-9C8F-C4087C8B96E3}" name="Property" dataDxfId="19"/>
    <tableColumn id="15" xr3:uid="{884FE337-451C-4974-B9E8-9B48350800F0}" name="2020" dataDxfId="18"/>
    <tableColumn id="14" xr3:uid="{80CDEE00-A08D-4DDA-97E2-E0931552EAC0}" name="2019" dataDxfId="17"/>
    <tableColumn id="3" xr3:uid="{31BDD86E-EDCC-4301-B695-F34B7E3A4942}" name="2018" dataDxfId="16"/>
    <tableColumn id="4" xr3:uid="{DBB5696E-37EA-4137-B28D-603A0721AFFB}" name="2017" dataDxfId="15"/>
    <tableColumn id="5" xr3:uid="{A3D6491A-3F09-4601-9D6D-7037C60ADBD5}" name="2016" dataDxfId="14"/>
    <tableColumn id="6" xr3:uid="{EE22F932-C4E4-46CF-89BA-6ED753723A81}" name="2015" dataDxfId="13"/>
    <tableColumn id="7" xr3:uid="{8388C15E-C696-495F-8486-F1F4ABC21DFC}" name="2014" dataDxfId="12"/>
    <tableColumn id="8" xr3:uid="{72CD3A08-4AA0-4FB7-A802-3BA15EB38A86}" name="2013" dataDxfId="11"/>
    <tableColumn id="9" xr3:uid="{F6538881-5052-4C21-B3E8-7F93212812A0}" name="2012" dataDxfId="10"/>
    <tableColumn id="10" xr3:uid="{CEAB4761-DAE6-451C-8914-C222ACE140E4}" name="2011" dataDxfId="9"/>
    <tableColumn id="11" xr3:uid="{707BEFDF-2106-4872-B31C-333A81D25B0E}" name="2010" dataDxfId="8"/>
    <tableColumn id="12" xr3:uid="{F20985EF-3AE4-44D8-B1F5-562F857D0947}" name="2009" dataDxfId="7"/>
    <tableColumn id="13" xr3:uid="{757CB0E5-AD34-435E-AC0E-404E6D1B7FC6}" name="2008" dataDxfId="6"/>
  </tableColumns>
  <tableStyleInfo name="TableStyleLight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F9EEF6-120D-4089-A67A-C2DF9B663501}" name="RPMAssign" displayName="RPMAssign" ref="A1:C252" totalsRowShown="0" headerRowDxfId="5" dataDxfId="4" tableBorderDxfId="3" headerRowCellStyle="Normal 38">
  <autoFilter ref="A1:C252" xr:uid="{E751CE81-49E7-4154-AC80-8D49D670A943}"/>
  <tableColumns count="3">
    <tableColumn id="1" xr3:uid="{729DE8F7-00FC-4D6B-BE86-81CA9B80D2F7}" name="Yardi" dataDxfId="2"/>
    <tableColumn id="2" xr3:uid="{1EE77673-8280-4CED-87EF-B9DEB9C578A7}" name="Property" dataDxfId="1"/>
    <tableColumn id="4" xr3:uid="{EA68EFB5-2C29-4769-940B-D8F521C89F70}" name="Current RPM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ssexpropertytrust-my.sharepoint.com/personal/phummelt_essexpropertytrust_com/Documents/Local_R_Material/Data/SightPlan_Data/" TargetMode="Externa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ABB71-E687-44B6-96FF-4255A3978003}">
  <dimension ref="A1:AU325"/>
  <sheetViews>
    <sheetView tabSelected="1" topLeftCell="AH29" zoomScale="115" zoomScaleNormal="115" workbookViewId="0">
      <selection activeCell="A3" sqref="A3:A325"/>
    </sheetView>
  </sheetViews>
  <sheetFormatPr defaultColWidth="8.85546875" defaultRowHeight="12.75" x14ac:dyDescent="0.2"/>
  <cols>
    <col min="1" max="1" width="16.28515625" style="24" bestFit="1" customWidth="1"/>
    <col min="2" max="2" width="33" style="24" bestFit="1" customWidth="1"/>
    <col min="3" max="3" width="7.28515625" style="24" bestFit="1" customWidth="1"/>
    <col min="4" max="4" width="10.28515625" style="24" bestFit="1" customWidth="1"/>
    <col min="5" max="5" width="12.140625" style="24" bestFit="1" customWidth="1"/>
    <col min="6" max="6" width="8.140625" style="24" bestFit="1" customWidth="1"/>
    <col min="7" max="7" width="11.140625" style="24" bestFit="1" customWidth="1"/>
    <col min="8" max="8" width="33" style="24" bestFit="1" customWidth="1"/>
    <col min="9" max="9" width="57.28515625" style="24" bestFit="1" customWidth="1"/>
    <col min="10" max="10" width="17.85546875" style="24" bestFit="1" customWidth="1"/>
    <col min="11" max="11" width="7.42578125" style="24" bestFit="1" customWidth="1"/>
    <col min="12" max="12" width="9" style="24" bestFit="1" customWidth="1"/>
    <col min="13" max="13" width="10.42578125" style="24" bestFit="1" customWidth="1"/>
    <col min="14" max="14" width="11.140625" style="24" bestFit="1" customWidth="1"/>
    <col min="15" max="15" width="14.28515625" style="24" bestFit="1" customWidth="1"/>
    <col min="16" max="16" width="9.28515625" style="24" bestFit="1" customWidth="1"/>
    <col min="17" max="17" width="40.28515625" style="24" bestFit="1" customWidth="1"/>
    <col min="18" max="18" width="11" style="24" bestFit="1" customWidth="1"/>
    <col min="19" max="19" width="20.28515625" style="24" bestFit="1" customWidth="1"/>
    <col min="20" max="20" width="30.5703125" style="24" bestFit="1" customWidth="1"/>
    <col min="21" max="21" width="10" style="24" bestFit="1" customWidth="1"/>
    <col min="22" max="22" width="13.28515625" style="24" bestFit="1" customWidth="1"/>
    <col min="23" max="23" width="17.7109375" style="24" bestFit="1" customWidth="1"/>
    <col min="24" max="24" width="20.42578125" style="24" bestFit="1" customWidth="1"/>
    <col min="25" max="25" width="9.7109375" style="24" bestFit="1" customWidth="1"/>
    <col min="26" max="26" width="9.85546875" style="24" bestFit="1" customWidth="1"/>
    <col min="27" max="27" width="14.28515625" style="24" bestFit="1" customWidth="1"/>
    <col min="28" max="28" width="16.140625" style="24" bestFit="1" customWidth="1"/>
    <col min="29" max="29" width="13.140625" style="24" bestFit="1" customWidth="1"/>
    <col min="30" max="30" width="13.28515625" style="24" bestFit="1" customWidth="1"/>
    <col min="31" max="31" width="10.42578125" style="36" bestFit="1" customWidth="1"/>
    <col min="32" max="32" width="8.7109375" style="24" bestFit="1" customWidth="1"/>
    <col min="33" max="33" width="10.140625" style="24" bestFit="1" customWidth="1"/>
    <col min="34" max="34" width="11.140625" style="24" bestFit="1" customWidth="1"/>
    <col min="35" max="35" width="16.42578125" style="24" bestFit="1" customWidth="1"/>
    <col min="36" max="36" width="10.85546875" style="24" bestFit="1" customWidth="1"/>
    <col min="37" max="37" width="14.7109375" style="24" bestFit="1" customWidth="1"/>
    <col min="38" max="38" width="13.28515625" style="45" bestFit="1" customWidth="1"/>
    <col min="39" max="39" width="18.5703125" style="24" bestFit="1" customWidth="1"/>
    <col min="40" max="40" width="16.42578125" style="24" bestFit="1" customWidth="1"/>
    <col min="41" max="41" width="25.85546875" style="24" bestFit="1" customWidth="1"/>
    <col min="42" max="42" width="17.85546875" style="24" bestFit="1" customWidth="1"/>
    <col min="43" max="43" width="18.85546875" style="24" bestFit="1" customWidth="1"/>
    <col min="44" max="44" width="33" style="24" bestFit="1" customWidth="1"/>
    <col min="45" max="16384" width="8.85546875" style="24"/>
  </cols>
  <sheetData>
    <row r="1" spans="1:43" x14ac:dyDescent="0.2">
      <c r="A1" s="24">
        <v>1</v>
      </c>
      <c r="B1" s="24">
        <v>2</v>
      </c>
      <c r="C1" s="24">
        <v>3</v>
      </c>
      <c r="D1" s="24">
        <v>4</v>
      </c>
      <c r="E1" s="24">
        <v>5</v>
      </c>
      <c r="F1" s="24">
        <v>6</v>
      </c>
      <c r="G1" s="24">
        <v>7</v>
      </c>
      <c r="H1" s="24">
        <v>8</v>
      </c>
      <c r="I1" s="24">
        <v>9</v>
      </c>
      <c r="J1" s="24">
        <v>10</v>
      </c>
      <c r="K1" s="24">
        <v>11</v>
      </c>
      <c r="L1" s="24">
        <v>12</v>
      </c>
      <c r="M1" s="24">
        <v>13</v>
      </c>
      <c r="N1" s="24">
        <v>14</v>
      </c>
      <c r="O1" s="24">
        <v>15</v>
      </c>
      <c r="P1" s="24">
        <v>16</v>
      </c>
      <c r="Q1" s="24">
        <v>17</v>
      </c>
      <c r="R1" s="24">
        <v>18</v>
      </c>
      <c r="S1" s="24">
        <v>19</v>
      </c>
      <c r="T1" s="24">
        <v>20</v>
      </c>
      <c r="U1" s="24">
        <v>21</v>
      </c>
      <c r="V1" s="24">
        <v>22</v>
      </c>
      <c r="W1" s="24">
        <v>23</v>
      </c>
      <c r="X1" s="24">
        <v>24</v>
      </c>
      <c r="Y1" s="24">
        <v>25</v>
      </c>
      <c r="Z1" s="24">
        <v>26</v>
      </c>
      <c r="AA1" s="24">
        <v>27</v>
      </c>
      <c r="AB1" s="24">
        <v>28</v>
      </c>
      <c r="AC1" s="24">
        <v>29</v>
      </c>
      <c r="AD1" s="24">
        <v>30</v>
      </c>
      <c r="AE1" s="24">
        <v>31</v>
      </c>
      <c r="AF1" s="24">
        <v>32</v>
      </c>
      <c r="AG1" s="24">
        <v>33</v>
      </c>
      <c r="AH1" s="24">
        <v>34</v>
      </c>
      <c r="AI1" s="24">
        <v>35</v>
      </c>
      <c r="AJ1" s="24">
        <v>36</v>
      </c>
      <c r="AK1" s="24">
        <v>37</v>
      </c>
      <c r="AL1" s="24">
        <v>38</v>
      </c>
      <c r="AM1" s="24">
        <v>39</v>
      </c>
      <c r="AN1" s="24">
        <v>40</v>
      </c>
      <c r="AO1" s="24">
        <v>41</v>
      </c>
      <c r="AP1" s="24">
        <v>42</v>
      </c>
      <c r="AQ1" s="24">
        <v>43</v>
      </c>
    </row>
    <row r="2" spans="1:43" x14ac:dyDescent="0.2">
      <c r="A2" s="22" t="s">
        <v>768</v>
      </c>
      <c r="B2" s="22" t="s">
        <v>767</v>
      </c>
      <c r="C2" s="37" t="s">
        <v>770</v>
      </c>
      <c r="D2" s="22" t="s">
        <v>1229</v>
      </c>
      <c r="E2" s="22" t="s">
        <v>1407</v>
      </c>
      <c r="F2" s="22" t="s">
        <v>1408</v>
      </c>
      <c r="G2" s="22" t="s">
        <v>771</v>
      </c>
      <c r="H2" s="22" t="s">
        <v>1543</v>
      </c>
      <c r="I2" s="22" t="s">
        <v>0</v>
      </c>
      <c r="J2" s="22" t="s">
        <v>1</v>
      </c>
      <c r="K2" s="22" t="s">
        <v>2</v>
      </c>
      <c r="L2" s="22" t="s">
        <v>772</v>
      </c>
      <c r="M2" s="22" t="s">
        <v>773</v>
      </c>
      <c r="N2" s="22" t="s">
        <v>774</v>
      </c>
      <c r="O2" s="22" t="s">
        <v>777</v>
      </c>
      <c r="P2" s="22" t="s">
        <v>1544</v>
      </c>
      <c r="Q2" s="22" t="s">
        <v>1226</v>
      </c>
      <c r="R2" s="22" t="s">
        <v>778</v>
      </c>
      <c r="S2" s="22" t="s">
        <v>1227</v>
      </c>
      <c r="T2" s="22" t="s">
        <v>1228</v>
      </c>
      <c r="U2" s="22" t="s">
        <v>1230</v>
      </c>
      <c r="V2" s="22" t="s">
        <v>1217</v>
      </c>
      <c r="W2" s="22" t="s">
        <v>1239</v>
      </c>
      <c r="X2" s="22" t="s">
        <v>1218</v>
      </c>
      <c r="Y2" s="22" t="s">
        <v>1492</v>
      </c>
      <c r="Z2" s="22" t="s">
        <v>1240</v>
      </c>
      <c r="AA2" s="22" t="s">
        <v>1491</v>
      </c>
      <c r="AB2" s="22" t="s">
        <v>1545</v>
      </c>
      <c r="AC2" s="22" t="s">
        <v>1224</v>
      </c>
      <c r="AD2" s="22" t="s">
        <v>769</v>
      </c>
      <c r="AE2" s="23" t="s">
        <v>1493</v>
      </c>
      <c r="AF2" s="22" t="s">
        <v>775</v>
      </c>
      <c r="AG2" s="22" t="s">
        <v>776</v>
      </c>
      <c r="AH2" s="22" t="s">
        <v>1225</v>
      </c>
      <c r="AI2" s="22" t="s">
        <v>1372</v>
      </c>
      <c r="AJ2" s="22" t="s">
        <v>1373</v>
      </c>
      <c r="AK2" s="22" t="s">
        <v>1374</v>
      </c>
      <c r="AL2" s="42" t="s">
        <v>1238</v>
      </c>
      <c r="AM2" s="22" t="s">
        <v>1404</v>
      </c>
      <c r="AN2" s="22" t="s">
        <v>1405</v>
      </c>
      <c r="AO2" s="22" t="s">
        <v>1416</v>
      </c>
      <c r="AP2" s="22" t="s">
        <v>1498</v>
      </c>
      <c r="AQ2" s="22" t="s">
        <v>1546</v>
      </c>
    </row>
    <row r="3" spans="1:43" x14ac:dyDescent="0.2">
      <c r="A3" s="43" t="s">
        <v>179</v>
      </c>
      <c r="B3" s="19" t="s">
        <v>180</v>
      </c>
      <c r="C3" s="37">
        <v>180</v>
      </c>
      <c r="D3" s="37">
        <v>174268</v>
      </c>
      <c r="E3" s="19" t="s" vm="6">
        <v>1368</v>
      </c>
      <c r="F3" s="19" t="s">
        <v>1409</v>
      </c>
      <c r="G3" s="19" t="s">
        <v>781</v>
      </c>
      <c r="H3" s="19" t="s">
        <v>180</v>
      </c>
      <c r="I3" s="19" t="s">
        <v>1097</v>
      </c>
      <c r="J3" s="19" t="s">
        <v>91</v>
      </c>
      <c r="K3" s="19" t="s">
        <v>27</v>
      </c>
      <c r="L3" s="19">
        <v>98004</v>
      </c>
      <c r="M3" s="19">
        <v>47.640968000000001</v>
      </c>
      <c r="N3" s="19">
        <v>-122.188332</v>
      </c>
      <c r="O3" s="19" t="s">
        <v>1090</v>
      </c>
      <c r="P3" s="19" t="s">
        <v>1412</v>
      </c>
      <c r="Q3" s="19" t="s">
        <v>1091</v>
      </c>
      <c r="R3" s="19" t="s">
        <v>1092</v>
      </c>
      <c r="S3" s="19" t="s">
        <v>1093</v>
      </c>
      <c r="T3" s="19" t="s">
        <v>1094</v>
      </c>
      <c r="U3" s="19" t="s">
        <v>790</v>
      </c>
      <c r="V3" s="19" t="s">
        <v>782</v>
      </c>
      <c r="W3" s="20">
        <v>1</v>
      </c>
      <c r="X3" s="39">
        <v>1984</v>
      </c>
      <c r="Y3" s="39">
        <v>2005</v>
      </c>
      <c r="Z3" s="25">
        <v>38383</v>
      </c>
      <c r="AA3" s="19">
        <v>2006</v>
      </c>
      <c r="AB3" s="25">
        <v>38411</v>
      </c>
      <c r="AC3" s="19" t="s">
        <v>783</v>
      </c>
      <c r="AD3" s="19" t="s">
        <v>784</v>
      </c>
      <c r="AE3" s="21" t="s">
        <v>1494</v>
      </c>
      <c r="AF3" s="19">
        <v>3</v>
      </c>
      <c r="AG3" s="19">
        <v>17</v>
      </c>
      <c r="AH3" s="19" t="s">
        <v>1098</v>
      </c>
      <c r="AI3" s="19"/>
      <c r="AJ3" s="19"/>
      <c r="AK3" s="19"/>
      <c r="AL3" s="43" t="s">
        <v>179</v>
      </c>
      <c r="AM3" s="19">
        <v>0</v>
      </c>
      <c r="AN3" s="19" t="s">
        <v>1406</v>
      </c>
      <c r="AO3" s="19" t="s">
        <v>1523</v>
      </c>
      <c r="AP3" s="19">
        <v>10041</v>
      </c>
      <c r="AQ3" s="26">
        <f>IFERROR(PropInfo[[#This Row],[Yardi]]*1,PropInfo[[#This Row],[Yardi]])</f>
        <v>3</v>
      </c>
    </row>
    <row r="4" spans="1:43" x14ac:dyDescent="0.2">
      <c r="A4" s="43" t="s">
        <v>205</v>
      </c>
      <c r="B4" s="19" t="s">
        <v>1436</v>
      </c>
      <c r="C4" s="37">
        <v>169</v>
      </c>
      <c r="D4" s="37">
        <v>103800</v>
      </c>
      <c r="E4" s="19" t="s" vm="6">
        <v>1368</v>
      </c>
      <c r="F4" s="19" t="s">
        <v>1409</v>
      </c>
      <c r="G4" s="19" t="s">
        <v>781</v>
      </c>
      <c r="H4" s="19" t="s">
        <v>1119</v>
      </c>
      <c r="I4" s="19" t="s">
        <v>206</v>
      </c>
      <c r="J4" s="19" t="s">
        <v>61</v>
      </c>
      <c r="K4" s="19" t="s">
        <v>27</v>
      </c>
      <c r="L4" s="19">
        <v>98034</v>
      </c>
      <c r="M4" s="19">
        <v>47.708202</v>
      </c>
      <c r="N4" s="19">
        <v>-122.213509</v>
      </c>
      <c r="O4" s="19" t="s">
        <v>1090</v>
      </c>
      <c r="P4" s="19" t="s">
        <v>1412</v>
      </c>
      <c r="Q4" s="19" t="s">
        <v>1091</v>
      </c>
      <c r="R4" s="19" t="s">
        <v>1092</v>
      </c>
      <c r="S4" s="19" t="s">
        <v>1093</v>
      </c>
      <c r="T4" s="19" t="s">
        <v>1108</v>
      </c>
      <c r="U4" s="19" t="s">
        <v>790</v>
      </c>
      <c r="V4" s="19" t="s">
        <v>782</v>
      </c>
      <c r="W4" s="20">
        <v>1</v>
      </c>
      <c r="X4" s="39">
        <v>1978</v>
      </c>
      <c r="Y4" s="39">
        <v>2010</v>
      </c>
      <c r="Z4" s="25">
        <v>40485</v>
      </c>
      <c r="AA4" s="19">
        <v>2012</v>
      </c>
      <c r="AB4" s="25">
        <v>40634</v>
      </c>
      <c r="AC4" s="19" t="s">
        <v>783</v>
      </c>
      <c r="AD4" s="19" t="s">
        <v>784</v>
      </c>
      <c r="AE4" s="21" t="s">
        <v>1494</v>
      </c>
      <c r="AF4" s="19">
        <v>3</v>
      </c>
      <c r="AG4" s="19">
        <v>13</v>
      </c>
      <c r="AH4" s="19" t="s">
        <v>792</v>
      </c>
      <c r="AI4" s="19"/>
      <c r="AJ4" s="19"/>
      <c r="AK4" s="19"/>
      <c r="AL4" s="43" t="s">
        <v>205</v>
      </c>
      <c r="AM4" s="19">
        <v>27</v>
      </c>
      <c r="AN4" s="19" t="s">
        <v>1403</v>
      </c>
      <c r="AO4" s="19" t="s">
        <v>1349</v>
      </c>
      <c r="AP4" s="19">
        <v>38598</v>
      </c>
      <c r="AQ4" s="26">
        <f>IFERROR(PropInfo[[#This Row],[Yardi]]*1,PropInfo[[#This Row],[Yardi]])</f>
        <v>6</v>
      </c>
    </row>
    <row r="5" spans="1:43" hidden="1" x14ac:dyDescent="0.2">
      <c r="A5" s="43" t="s">
        <v>10</v>
      </c>
      <c r="B5" s="19" t="s">
        <v>11</v>
      </c>
      <c r="C5" s="37">
        <v>3</v>
      </c>
      <c r="D5" s="37">
        <v>8936</v>
      </c>
      <c r="E5" s="19" t="s">
        <v>762</v>
      </c>
      <c r="F5" s="19" t="s">
        <v>1409</v>
      </c>
      <c r="G5" s="19" t="s">
        <v>835</v>
      </c>
      <c r="H5" s="19" t="s">
        <v>8</v>
      </c>
      <c r="I5" s="19" t="s">
        <v>803</v>
      </c>
      <c r="J5" s="19" t="s">
        <v>9</v>
      </c>
      <c r="K5" s="19" t="s">
        <v>6</v>
      </c>
      <c r="L5" s="19">
        <v>95112</v>
      </c>
      <c r="M5" s="19">
        <v>37.335529000000001</v>
      </c>
      <c r="N5" s="19">
        <v>-121.887001</v>
      </c>
      <c r="O5" s="19" t="s">
        <v>786</v>
      </c>
      <c r="P5" s="19" t="s">
        <v>1414</v>
      </c>
      <c r="Q5" s="19" t="s">
        <v>787</v>
      </c>
      <c r="R5" s="19" t="s">
        <v>5</v>
      </c>
      <c r="S5" s="19" t="s">
        <v>797</v>
      </c>
      <c r="T5" s="19" t="s">
        <v>805</v>
      </c>
      <c r="U5" s="19" t="s">
        <v>790</v>
      </c>
      <c r="V5" s="19" t="s">
        <v>782</v>
      </c>
      <c r="W5" s="20">
        <v>1</v>
      </c>
      <c r="X5" s="39">
        <v>2001</v>
      </c>
      <c r="Y5" s="39">
        <v>2010</v>
      </c>
      <c r="Z5" s="25">
        <v>40368</v>
      </c>
      <c r="AA5" s="19">
        <v>2011</v>
      </c>
      <c r="AB5" s="25">
        <v>40391</v>
      </c>
      <c r="AC5" s="19" t="s">
        <v>804</v>
      </c>
      <c r="AD5" s="19" t="s">
        <v>800</v>
      </c>
      <c r="AE5" s="21">
        <v>0</v>
      </c>
      <c r="AF5" s="19">
        <v>5</v>
      </c>
      <c r="AG5" s="19">
        <v>16</v>
      </c>
      <c r="AH5" s="19" t="s">
        <v>792</v>
      </c>
      <c r="AI5" s="19"/>
      <c r="AJ5" s="19"/>
      <c r="AK5" s="19"/>
      <c r="AL5" s="43" t="e">
        <v>#N/A</v>
      </c>
      <c r="AM5" s="19" t="e">
        <v>#N/A</v>
      </c>
      <c r="AN5" s="19" t="e">
        <v>#N/A</v>
      </c>
      <c r="AO5" s="19" t="s">
        <v>1565</v>
      </c>
      <c r="AP5" s="19">
        <v>0</v>
      </c>
      <c r="AQ5" s="26">
        <f>IFERROR(PropInfo[[#This Row],[Yardi]]*1,PropInfo[[#This Row],[Yardi]])</f>
        <v>24</v>
      </c>
    </row>
    <row r="6" spans="1:43" x14ac:dyDescent="0.2">
      <c r="A6" s="43" t="s">
        <v>334</v>
      </c>
      <c r="B6" s="19" t="s">
        <v>335</v>
      </c>
      <c r="C6" s="37">
        <v>255</v>
      </c>
      <c r="D6" s="37">
        <v>296250</v>
      </c>
      <c r="E6" s="19" t="s" vm="2">
        <v>1368</v>
      </c>
      <c r="F6" s="19" t="s">
        <v>1409</v>
      </c>
      <c r="G6" s="19" t="s">
        <v>781</v>
      </c>
      <c r="H6" s="19" t="s">
        <v>335</v>
      </c>
      <c r="I6" s="19" t="s">
        <v>336</v>
      </c>
      <c r="J6" s="19" t="s">
        <v>986</v>
      </c>
      <c r="K6" s="19" t="s">
        <v>6</v>
      </c>
      <c r="L6" s="19">
        <v>90275</v>
      </c>
      <c r="M6" s="19">
        <v>33.776080999999998</v>
      </c>
      <c r="N6" s="19">
        <v>-118.381241</v>
      </c>
      <c r="O6" s="19" t="s">
        <v>929</v>
      </c>
      <c r="P6" s="19" t="s">
        <v>1413</v>
      </c>
      <c r="Q6" s="19" t="s">
        <v>930</v>
      </c>
      <c r="R6" s="19" t="s">
        <v>21</v>
      </c>
      <c r="S6" s="19" t="s">
        <v>987</v>
      </c>
      <c r="T6" s="19" t="s">
        <v>957</v>
      </c>
      <c r="U6" s="19" t="s">
        <v>790</v>
      </c>
      <c r="V6" s="19" t="s">
        <v>794</v>
      </c>
      <c r="W6" s="20">
        <v>1</v>
      </c>
      <c r="X6" s="39">
        <v>1972</v>
      </c>
      <c r="Y6" s="39">
        <v>1997</v>
      </c>
      <c r="Z6" s="25">
        <v>35468</v>
      </c>
      <c r="AA6" s="19">
        <v>1998</v>
      </c>
      <c r="AB6" s="25">
        <v>35520</v>
      </c>
      <c r="AC6" s="19" t="s">
        <v>783</v>
      </c>
      <c r="AD6" s="19" t="s">
        <v>784</v>
      </c>
      <c r="AE6" s="21">
        <v>0</v>
      </c>
      <c r="AF6" s="19">
        <v>4</v>
      </c>
      <c r="AG6" s="19">
        <v>10</v>
      </c>
      <c r="AH6" s="19" t="s">
        <v>792</v>
      </c>
      <c r="AI6" s="19"/>
      <c r="AJ6" s="19"/>
      <c r="AK6" s="19"/>
      <c r="AL6" s="43" t="s">
        <v>334</v>
      </c>
      <c r="AM6" s="19">
        <v>0</v>
      </c>
      <c r="AN6" s="19" t="s">
        <v>1406</v>
      </c>
      <c r="AO6" s="19" t="s">
        <v>1350</v>
      </c>
      <c r="AP6" s="19">
        <v>1159</v>
      </c>
      <c r="AQ6" s="26">
        <f>IFERROR(PropInfo[[#This Row],[Yardi]]*1,PropInfo[[#This Row],[Yardi]])</f>
        <v>7</v>
      </c>
    </row>
    <row r="7" spans="1:43" hidden="1" x14ac:dyDescent="0.2">
      <c r="A7" s="43" t="s">
        <v>708</v>
      </c>
      <c r="B7" s="19" t="s">
        <v>1155</v>
      </c>
      <c r="C7" s="37">
        <v>7</v>
      </c>
      <c r="D7" s="37">
        <v>10696</v>
      </c>
      <c r="E7" s="19" t="s">
        <v>806</v>
      </c>
      <c r="F7" s="19" t="s">
        <v>1409</v>
      </c>
      <c r="G7" s="19" t="s">
        <v>835</v>
      </c>
      <c r="H7" s="19" t="s">
        <v>13</v>
      </c>
      <c r="I7" s="19" t="s">
        <v>807</v>
      </c>
      <c r="J7" s="19" t="s">
        <v>9</v>
      </c>
      <c r="K7" s="19" t="s">
        <v>6</v>
      </c>
      <c r="L7" s="19">
        <v>95113</v>
      </c>
      <c r="M7" s="19">
        <v>37.330255000000001</v>
      </c>
      <c r="N7" s="19">
        <v>-121.887168</v>
      </c>
      <c r="O7" s="19" t="s">
        <v>786</v>
      </c>
      <c r="P7" s="19" t="s">
        <v>1414</v>
      </c>
      <c r="Q7" s="19" t="s">
        <v>787</v>
      </c>
      <c r="R7" s="19" t="s">
        <v>5</v>
      </c>
      <c r="S7" s="19" t="s">
        <v>797</v>
      </c>
      <c r="T7" s="19" t="s">
        <v>805</v>
      </c>
      <c r="U7" s="19" t="s">
        <v>790</v>
      </c>
      <c r="V7" s="19" t="s">
        <v>806</v>
      </c>
      <c r="W7" s="20">
        <v>0.5</v>
      </c>
      <c r="X7" s="39">
        <v>2010</v>
      </c>
      <c r="Y7" s="39">
        <v>2017</v>
      </c>
      <c r="Z7" s="25">
        <v>42969</v>
      </c>
      <c r="AA7" s="19">
        <v>2019</v>
      </c>
      <c r="AB7" s="25">
        <v>43313</v>
      </c>
      <c r="AC7" s="19" t="s">
        <v>804</v>
      </c>
      <c r="AD7" s="19" t="s">
        <v>808</v>
      </c>
      <c r="AE7" s="21">
        <v>0</v>
      </c>
      <c r="AF7" s="19">
        <v>23</v>
      </c>
      <c r="AG7" s="19">
        <v>1</v>
      </c>
      <c r="AH7" s="19" t="s">
        <v>809</v>
      </c>
      <c r="AI7" s="19"/>
      <c r="AJ7" s="19"/>
      <c r="AK7" s="19"/>
      <c r="AL7" s="43" t="e">
        <v>#N/A</v>
      </c>
      <c r="AM7" s="19" t="e">
        <v>#N/A</v>
      </c>
      <c r="AN7" s="19" t="e">
        <v>#N/A</v>
      </c>
      <c r="AO7" s="19" t="s">
        <v>1565</v>
      </c>
      <c r="AP7" s="19">
        <v>0</v>
      </c>
      <c r="AQ7" s="26">
        <f>IFERROR(PropInfo[[#This Row],[Yardi]]*1,PropInfo[[#This Row],[Yardi]])</f>
        <v>464</v>
      </c>
    </row>
    <row r="8" spans="1:43" x14ac:dyDescent="0.2">
      <c r="A8" s="43" t="s">
        <v>214</v>
      </c>
      <c r="B8" s="19" t="s">
        <v>215</v>
      </c>
      <c r="C8" s="37">
        <v>110</v>
      </c>
      <c r="D8" s="37">
        <v>108383</v>
      </c>
      <c r="E8" s="19" t="s" vm="3">
        <v>1368</v>
      </c>
      <c r="F8" s="19" t="s">
        <v>1409</v>
      </c>
      <c r="G8" s="19" t="s">
        <v>781</v>
      </c>
      <c r="H8" s="19" t="s">
        <v>215</v>
      </c>
      <c r="I8" s="19" t="s">
        <v>216</v>
      </c>
      <c r="J8" s="19" t="s">
        <v>91</v>
      </c>
      <c r="K8" s="19" t="s">
        <v>27</v>
      </c>
      <c r="L8" s="19">
        <v>98004</v>
      </c>
      <c r="M8" s="19">
        <v>47.609229999999997</v>
      </c>
      <c r="N8" s="19">
        <v>-122.203293</v>
      </c>
      <c r="O8" s="19" t="s">
        <v>1090</v>
      </c>
      <c r="P8" s="19" t="s">
        <v>1412</v>
      </c>
      <c r="Q8" s="19" t="s">
        <v>1091</v>
      </c>
      <c r="R8" s="19" t="s">
        <v>1092</v>
      </c>
      <c r="S8" s="19" t="s">
        <v>1093</v>
      </c>
      <c r="T8" s="19" t="s">
        <v>1094</v>
      </c>
      <c r="U8" s="19" t="s">
        <v>790</v>
      </c>
      <c r="V8" s="19" t="s">
        <v>782</v>
      </c>
      <c r="W8" s="20">
        <v>1</v>
      </c>
      <c r="X8" s="39">
        <v>2000</v>
      </c>
      <c r="Y8" s="39">
        <v>2010</v>
      </c>
      <c r="Z8" s="25">
        <v>40480</v>
      </c>
      <c r="AA8" s="19">
        <v>2012</v>
      </c>
      <c r="AB8" s="25">
        <v>40848</v>
      </c>
      <c r="AC8" s="19" t="s">
        <v>804</v>
      </c>
      <c r="AD8" s="19" t="s">
        <v>800</v>
      </c>
      <c r="AE8" s="21" t="s">
        <v>1494</v>
      </c>
      <c r="AF8" s="19">
        <v>5</v>
      </c>
      <c r="AG8" s="19">
        <v>1</v>
      </c>
      <c r="AH8" s="19" t="s">
        <v>792</v>
      </c>
      <c r="AI8" s="19"/>
      <c r="AJ8" s="19"/>
      <c r="AK8" s="19"/>
      <c r="AL8" s="43" t="s">
        <v>214</v>
      </c>
      <c r="AM8" s="19">
        <v>31</v>
      </c>
      <c r="AN8" s="19" t="s">
        <v>1403</v>
      </c>
      <c r="AO8" s="19" t="s">
        <v>1351</v>
      </c>
      <c r="AP8" s="19">
        <v>18305</v>
      </c>
      <c r="AQ8" s="26">
        <f>IFERROR(PropInfo[[#This Row],[Yardi]]*1,PropInfo[[#This Row],[Yardi]])</f>
        <v>9</v>
      </c>
    </row>
    <row r="9" spans="1:43" hidden="1" x14ac:dyDescent="0.2">
      <c r="A9" s="43" t="s">
        <v>17</v>
      </c>
      <c r="B9" s="19" t="s">
        <v>18</v>
      </c>
      <c r="C9" s="37">
        <v>5</v>
      </c>
      <c r="D9" s="37">
        <v>7680</v>
      </c>
      <c r="E9" s="19" t="s">
        <v>762</v>
      </c>
      <c r="F9" s="19" t="s">
        <v>1409</v>
      </c>
      <c r="G9" s="19" t="s">
        <v>835</v>
      </c>
      <c r="H9" s="19" t="s">
        <v>15</v>
      </c>
      <c r="I9" s="19" t="s">
        <v>938</v>
      </c>
      <c r="J9" s="19" t="s">
        <v>16</v>
      </c>
      <c r="K9" s="19" t="s">
        <v>6</v>
      </c>
      <c r="L9" s="19">
        <v>91205</v>
      </c>
      <c r="M9" s="19">
        <v>34.146278000000002</v>
      </c>
      <c r="N9" s="19">
        <v>-118.251099</v>
      </c>
      <c r="O9" s="19" t="s">
        <v>929</v>
      </c>
      <c r="P9" s="19" t="s">
        <v>1413</v>
      </c>
      <c r="Q9" s="19" t="s">
        <v>930</v>
      </c>
      <c r="R9" s="19" t="s">
        <v>21</v>
      </c>
      <c r="S9" s="19" t="s">
        <v>931</v>
      </c>
      <c r="T9" s="19" t="s">
        <v>932</v>
      </c>
      <c r="U9" s="19" t="s">
        <v>790</v>
      </c>
      <c r="V9" s="19" t="s">
        <v>782</v>
      </c>
      <c r="W9" s="20">
        <v>1</v>
      </c>
      <c r="X9" s="39">
        <v>2009</v>
      </c>
      <c r="Y9" s="39">
        <v>2010</v>
      </c>
      <c r="Z9" s="25">
        <v>40532</v>
      </c>
      <c r="AA9" s="19">
        <v>2012</v>
      </c>
      <c r="AB9" s="25">
        <v>40634</v>
      </c>
      <c r="AC9" s="19" t="s">
        <v>804</v>
      </c>
      <c r="AD9" s="19" t="s">
        <v>800</v>
      </c>
      <c r="AE9" s="21">
        <v>0</v>
      </c>
      <c r="AF9" s="19">
        <v>5</v>
      </c>
      <c r="AG9" s="19">
        <v>1</v>
      </c>
      <c r="AH9" s="19" t="s">
        <v>809</v>
      </c>
      <c r="AI9" s="19"/>
      <c r="AJ9" s="19"/>
      <c r="AK9" s="19"/>
      <c r="AL9" s="43" t="e">
        <v>#N/A</v>
      </c>
      <c r="AM9" s="19" t="e">
        <v>#N/A</v>
      </c>
      <c r="AN9" s="19" t="e">
        <v>#N/A</v>
      </c>
      <c r="AO9" s="19" t="s">
        <v>1565</v>
      </c>
      <c r="AP9" s="19">
        <v>0</v>
      </c>
      <c r="AQ9" s="26">
        <f>IFERROR(PropInfo[[#This Row],[Yardi]]*1,PropInfo[[#This Row],[Yardi]])</f>
        <v>114</v>
      </c>
    </row>
    <row r="10" spans="1:43" x14ac:dyDescent="0.2">
      <c r="A10" s="43" t="s">
        <v>92</v>
      </c>
      <c r="B10" s="19" t="s">
        <v>93</v>
      </c>
      <c r="C10" s="37">
        <v>231</v>
      </c>
      <c r="D10" s="37">
        <v>227511</v>
      </c>
      <c r="E10" s="19" t="s" vm="16">
        <v>1368</v>
      </c>
      <c r="F10" s="19" t="s">
        <v>1409</v>
      </c>
      <c r="G10" s="19" t="s">
        <v>781</v>
      </c>
      <c r="H10" s="19" t="s">
        <v>93</v>
      </c>
      <c r="I10" s="19" t="s">
        <v>826</v>
      </c>
      <c r="J10" s="19" t="s">
        <v>9</v>
      </c>
      <c r="K10" s="19" t="s">
        <v>6</v>
      </c>
      <c r="L10" s="19">
        <v>95136</v>
      </c>
      <c r="M10" s="19">
        <v>37.275889999999997</v>
      </c>
      <c r="N10" s="19">
        <v>-121.84922</v>
      </c>
      <c r="O10" s="19" t="s">
        <v>786</v>
      </c>
      <c r="P10" s="19" t="s">
        <v>1414</v>
      </c>
      <c r="Q10" s="19" t="s">
        <v>787</v>
      </c>
      <c r="R10" s="19" t="s">
        <v>5</v>
      </c>
      <c r="S10" s="19" t="s">
        <v>797</v>
      </c>
      <c r="T10" s="19" t="s">
        <v>827</v>
      </c>
      <c r="U10" s="19" t="s">
        <v>790</v>
      </c>
      <c r="V10" s="19" t="s">
        <v>782</v>
      </c>
      <c r="W10" s="20">
        <v>1</v>
      </c>
      <c r="X10" s="39">
        <v>2004</v>
      </c>
      <c r="Y10" s="39">
        <v>2010</v>
      </c>
      <c r="Z10" s="25">
        <v>40444</v>
      </c>
      <c r="AA10" s="19">
        <v>2011</v>
      </c>
      <c r="AB10" s="25">
        <v>40544</v>
      </c>
      <c r="AC10" s="19" t="s">
        <v>783</v>
      </c>
      <c r="AD10" s="19" t="s">
        <v>800</v>
      </c>
      <c r="AE10" s="21">
        <v>0</v>
      </c>
      <c r="AF10" s="19">
        <v>4</v>
      </c>
      <c r="AG10" s="19">
        <v>4</v>
      </c>
      <c r="AH10" s="19" t="s">
        <v>809</v>
      </c>
      <c r="AI10" s="19"/>
      <c r="AJ10" s="19"/>
      <c r="AK10" s="19"/>
      <c r="AL10" s="43" t="s">
        <v>92</v>
      </c>
      <c r="AM10" s="19">
        <v>0</v>
      </c>
      <c r="AN10" s="19" t="s">
        <v>1406</v>
      </c>
      <c r="AO10" s="19" t="s">
        <v>1525</v>
      </c>
      <c r="AP10" s="19">
        <v>20730</v>
      </c>
      <c r="AQ10" s="26">
        <f>IFERROR(PropInfo[[#This Row],[Yardi]]*1,PropInfo[[#This Row],[Yardi]])</f>
        <v>11</v>
      </c>
    </row>
    <row r="11" spans="1:43" x14ac:dyDescent="0.2">
      <c r="A11" s="43" t="s">
        <v>189</v>
      </c>
      <c r="B11" s="19" t="s">
        <v>922</v>
      </c>
      <c r="C11" s="37">
        <v>96</v>
      </c>
      <c r="D11" s="37">
        <v>86640</v>
      </c>
      <c r="E11" s="19" t="s">
        <v>1369</v>
      </c>
      <c r="F11" s="19" t="s">
        <v>1409</v>
      </c>
      <c r="G11" s="19" t="s">
        <v>781</v>
      </c>
      <c r="H11" s="19" t="s">
        <v>922</v>
      </c>
      <c r="I11" s="19" t="s">
        <v>923</v>
      </c>
      <c r="J11" s="19" t="s">
        <v>188</v>
      </c>
      <c r="K11" s="19" t="s">
        <v>6</v>
      </c>
      <c r="L11" s="19">
        <v>95060</v>
      </c>
      <c r="M11" s="19">
        <v>36.964699000000003</v>
      </c>
      <c r="N11" s="19">
        <v>-122.027809</v>
      </c>
      <c r="O11" s="19" t="s">
        <v>786</v>
      </c>
      <c r="P11" s="19" t="s">
        <v>1414</v>
      </c>
      <c r="Q11" s="19" t="s">
        <v>924</v>
      </c>
      <c r="R11" s="19" t="s">
        <v>188</v>
      </c>
      <c r="S11" s="19" t="s">
        <v>188</v>
      </c>
      <c r="T11" s="19" t="s">
        <v>925</v>
      </c>
      <c r="U11" s="19" t="s">
        <v>790</v>
      </c>
      <c r="V11" s="19" t="s">
        <v>782</v>
      </c>
      <c r="W11" s="20">
        <v>1</v>
      </c>
      <c r="X11" s="39">
        <v>2002</v>
      </c>
      <c r="Y11" s="39">
        <v>2008</v>
      </c>
      <c r="Z11" s="25">
        <v>39660</v>
      </c>
      <c r="AA11" s="19">
        <v>2009</v>
      </c>
      <c r="AB11" s="25">
        <v>39692</v>
      </c>
      <c r="AC11" s="19" t="s">
        <v>804</v>
      </c>
      <c r="AD11" s="19" t="s">
        <v>784</v>
      </c>
      <c r="AE11" s="21">
        <v>0</v>
      </c>
      <c r="AF11" s="19">
        <v>3</v>
      </c>
      <c r="AG11" s="19">
        <v>9</v>
      </c>
      <c r="AH11" s="19" t="s">
        <v>870</v>
      </c>
      <c r="AI11" s="19"/>
      <c r="AJ11" s="19"/>
      <c r="AK11" s="19"/>
      <c r="AL11" s="43" t="s">
        <v>189</v>
      </c>
      <c r="AM11" s="19">
        <v>0</v>
      </c>
      <c r="AN11" s="19" t="s">
        <v>1406</v>
      </c>
      <c r="AO11" s="19" t="s">
        <v>1352</v>
      </c>
      <c r="AP11" s="19">
        <v>20868</v>
      </c>
      <c r="AQ11" s="26">
        <f>IFERROR(PropInfo[[#This Row],[Yardi]]*1,PropInfo[[#This Row],[Yardi]])</f>
        <v>12</v>
      </c>
    </row>
    <row r="12" spans="1:43" hidden="1" x14ac:dyDescent="0.2">
      <c r="A12" s="43" t="s">
        <v>718</v>
      </c>
      <c r="B12" s="19" t="s">
        <v>1168</v>
      </c>
      <c r="C12" s="37">
        <v>1</v>
      </c>
      <c r="D12" s="37"/>
      <c r="E12" s="19" t="s">
        <v>1289</v>
      </c>
      <c r="F12" s="19" t="s">
        <v>1411</v>
      </c>
      <c r="G12" s="19" t="s">
        <v>835</v>
      </c>
      <c r="H12" s="19" t="s">
        <v>905</v>
      </c>
      <c r="I12" s="19" t="s">
        <v>907</v>
      </c>
      <c r="J12" s="19" t="s">
        <v>106</v>
      </c>
      <c r="K12" s="19" t="s">
        <v>6</v>
      </c>
      <c r="L12" s="19">
        <v>94105</v>
      </c>
      <c r="M12" s="19">
        <v>37.787331000000002</v>
      </c>
      <c r="N12" s="19">
        <v>-122.39452900000001</v>
      </c>
      <c r="O12" s="19" t="s">
        <v>786</v>
      </c>
      <c r="P12" s="19" t="s">
        <v>1414</v>
      </c>
      <c r="Q12" s="19" t="s">
        <v>893</v>
      </c>
      <c r="R12" s="19" t="s">
        <v>106</v>
      </c>
      <c r="S12" s="19" t="s">
        <v>106</v>
      </c>
      <c r="T12" s="19" t="s">
        <v>908</v>
      </c>
      <c r="U12" s="19" t="s">
        <v>779</v>
      </c>
      <c r="V12" s="19" t="s">
        <v>906</v>
      </c>
      <c r="W12" s="20">
        <v>0.5</v>
      </c>
      <c r="X12" s="39">
        <v>2019</v>
      </c>
      <c r="Y12" s="39">
        <v>2015</v>
      </c>
      <c r="Z12" s="25">
        <v>42066</v>
      </c>
      <c r="AA12" s="19"/>
      <c r="AB12" s="25"/>
      <c r="AC12" s="19" t="s">
        <v>804</v>
      </c>
      <c r="AD12" s="19" t="s">
        <v>808</v>
      </c>
      <c r="AE12" s="21">
        <v>0</v>
      </c>
      <c r="AF12" s="19">
        <v>42</v>
      </c>
      <c r="AG12" s="19">
        <v>1</v>
      </c>
      <c r="AH12" s="19"/>
      <c r="AI12" s="19"/>
      <c r="AJ12" s="19"/>
      <c r="AK12" s="19"/>
      <c r="AL12" s="43" t="e">
        <v>#N/A</v>
      </c>
      <c r="AM12" s="19" t="e">
        <v>#N/A</v>
      </c>
      <c r="AN12" s="19" t="e">
        <v>#N/A</v>
      </c>
      <c r="AO12" s="19" t="s">
        <v>1565</v>
      </c>
      <c r="AP12" s="19" t="e">
        <v>#N/A</v>
      </c>
      <c r="AQ12" s="26">
        <f>IFERROR(PropInfo[[#This Row],[Yardi]]*1,PropInfo[[#This Row],[Yardi]])</f>
        <v>494</v>
      </c>
    </row>
    <row r="13" spans="1:43" x14ac:dyDescent="0.2">
      <c r="A13" s="43" t="s">
        <v>582</v>
      </c>
      <c r="B13" s="19" t="s">
        <v>1109</v>
      </c>
      <c r="C13" s="37">
        <v>333</v>
      </c>
      <c r="D13" s="37">
        <v>424723</v>
      </c>
      <c r="E13" s="19" t="s" vm="191">
        <v>1368</v>
      </c>
      <c r="F13" s="19" t="s">
        <v>1409</v>
      </c>
      <c r="G13" s="19" t="s">
        <v>781</v>
      </c>
      <c r="H13" s="19" t="s">
        <v>1109</v>
      </c>
      <c r="I13" s="19" t="s">
        <v>1110</v>
      </c>
      <c r="J13" s="19" t="s">
        <v>333</v>
      </c>
      <c r="K13" s="19" t="s">
        <v>27</v>
      </c>
      <c r="L13" s="19">
        <v>98029</v>
      </c>
      <c r="M13" s="19">
        <v>47.544803999999999</v>
      </c>
      <c r="N13" s="19">
        <v>-122.009659</v>
      </c>
      <c r="O13" s="19" t="s">
        <v>1090</v>
      </c>
      <c r="P13" s="19" t="s">
        <v>1412</v>
      </c>
      <c r="Q13" s="19" t="s">
        <v>1091</v>
      </c>
      <c r="R13" s="19" t="s">
        <v>1092</v>
      </c>
      <c r="S13" s="19" t="s">
        <v>1093</v>
      </c>
      <c r="T13" s="19" t="s">
        <v>1100</v>
      </c>
      <c r="U13" s="19" t="s">
        <v>790</v>
      </c>
      <c r="V13" s="19" t="s">
        <v>782</v>
      </c>
      <c r="W13" s="20">
        <v>1</v>
      </c>
      <c r="X13" s="39">
        <v>2000</v>
      </c>
      <c r="Y13" s="39">
        <v>2008</v>
      </c>
      <c r="Z13" s="25">
        <v>39680</v>
      </c>
      <c r="AA13" s="19">
        <v>2009</v>
      </c>
      <c r="AB13" s="25">
        <v>39753</v>
      </c>
      <c r="AC13" s="19" t="s">
        <v>804</v>
      </c>
      <c r="AD13" s="19" t="s">
        <v>784</v>
      </c>
      <c r="AE13" s="21" t="s">
        <v>1494</v>
      </c>
      <c r="AF13" s="19">
        <v>5</v>
      </c>
      <c r="AG13" s="19">
        <v>24</v>
      </c>
      <c r="AH13" s="19" t="s">
        <v>792</v>
      </c>
      <c r="AI13" s="19" t="s">
        <v>1375</v>
      </c>
      <c r="AJ13" s="19">
        <v>33</v>
      </c>
      <c r="AK13" s="19">
        <v>2027</v>
      </c>
      <c r="AL13" s="43" t="s">
        <v>582</v>
      </c>
      <c r="AM13" s="19">
        <v>0</v>
      </c>
      <c r="AN13" s="19" t="s">
        <v>1406</v>
      </c>
      <c r="AO13" s="19" t="s">
        <v>1353</v>
      </c>
      <c r="AP13" s="19">
        <v>15138</v>
      </c>
      <c r="AQ13" s="26">
        <f>IFERROR(PropInfo[[#This Row],[Yardi]]*1,PropInfo[[#This Row],[Yardi]])</f>
        <v>17</v>
      </c>
    </row>
    <row r="14" spans="1:43" x14ac:dyDescent="0.2">
      <c r="A14" s="43" t="s">
        <v>499</v>
      </c>
      <c r="B14" s="19" t="s">
        <v>1440</v>
      </c>
      <c r="C14" s="37">
        <v>75</v>
      </c>
      <c r="D14" s="37">
        <v>80867</v>
      </c>
      <c r="E14" s="19" t="s" vm="4">
        <v>1368</v>
      </c>
      <c r="F14" s="19" t="s">
        <v>1409</v>
      </c>
      <c r="G14" s="19" t="s">
        <v>781</v>
      </c>
      <c r="H14" s="19" t="s">
        <v>935</v>
      </c>
      <c r="I14" s="19" t="s">
        <v>936</v>
      </c>
      <c r="J14" s="19" t="s">
        <v>500</v>
      </c>
      <c r="K14" s="19" t="s">
        <v>6</v>
      </c>
      <c r="L14" s="19">
        <v>91436</v>
      </c>
      <c r="M14" s="19">
        <v>34.155890999999997</v>
      </c>
      <c r="N14" s="19">
        <v>-118.472038</v>
      </c>
      <c r="O14" s="19" t="s">
        <v>929</v>
      </c>
      <c r="P14" s="19" t="s">
        <v>1413</v>
      </c>
      <c r="Q14" s="19" t="s">
        <v>930</v>
      </c>
      <c r="R14" s="19" t="s">
        <v>21</v>
      </c>
      <c r="S14" s="19" t="s">
        <v>78</v>
      </c>
      <c r="T14" s="19" t="s">
        <v>937</v>
      </c>
      <c r="U14" s="19" t="s">
        <v>790</v>
      </c>
      <c r="V14" s="19" t="s">
        <v>782</v>
      </c>
      <c r="W14" s="20">
        <v>1</v>
      </c>
      <c r="X14" s="39">
        <v>1989</v>
      </c>
      <c r="Y14" s="39">
        <v>2009</v>
      </c>
      <c r="Z14" s="25">
        <v>40149</v>
      </c>
      <c r="AA14" s="19">
        <v>2010</v>
      </c>
      <c r="AB14" s="25">
        <v>40179</v>
      </c>
      <c r="AC14" s="19" t="s">
        <v>783</v>
      </c>
      <c r="AD14" s="19" t="s">
        <v>800</v>
      </c>
      <c r="AE14" s="21">
        <v>0</v>
      </c>
      <c r="AF14" s="19">
        <v>4</v>
      </c>
      <c r="AG14" s="19">
        <v>2</v>
      </c>
      <c r="AH14" s="19" t="s">
        <v>785</v>
      </c>
      <c r="AI14" s="19" t="s">
        <v>1376</v>
      </c>
      <c r="AJ14" s="19">
        <v>1</v>
      </c>
      <c r="AK14" s="19">
        <v>2036</v>
      </c>
      <c r="AL14" s="43" t="s">
        <v>499</v>
      </c>
      <c r="AM14" s="19">
        <v>4</v>
      </c>
      <c r="AN14" s="19" t="s">
        <v>1403</v>
      </c>
      <c r="AO14" s="19" t="s">
        <v>1589</v>
      </c>
      <c r="AP14" s="19">
        <v>20347</v>
      </c>
      <c r="AQ14" s="26">
        <f>IFERROR(PropInfo[[#This Row],[Yardi]]*1,PropInfo[[#This Row],[Yardi]])</f>
        <v>18</v>
      </c>
    </row>
    <row r="15" spans="1:43" x14ac:dyDescent="0.2">
      <c r="A15" s="43" t="s">
        <v>242</v>
      </c>
      <c r="B15" s="19" t="s">
        <v>1437</v>
      </c>
      <c r="C15" s="37">
        <v>158</v>
      </c>
      <c r="D15" s="37">
        <v>138916</v>
      </c>
      <c r="E15" s="19" t="s" vm="17">
        <v>1368</v>
      </c>
      <c r="F15" s="19" t="s">
        <v>1409</v>
      </c>
      <c r="G15" s="19" t="s">
        <v>781</v>
      </c>
      <c r="H15" s="19" t="s">
        <v>1124</v>
      </c>
      <c r="I15" s="19" t="s">
        <v>1125</v>
      </c>
      <c r="J15" s="19" t="s">
        <v>230</v>
      </c>
      <c r="K15" s="19" t="s">
        <v>27</v>
      </c>
      <c r="L15" s="19">
        <v>98052</v>
      </c>
      <c r="M15" s="19">
        <v>47.679913999999997</v>
      </c>
      <c r="N15" s="19">
        <v>-122.107131</v>
      </c>
      <c r="O15" s="19" t="s">
        <v>1090</v>
      </c>
      <c r="P15" s="19" t="s">
        <v>1412</v>
      </c>
      <c r="Q15" s="19" t="s">
        <v>1091</v>
      </c>
      <c r="R15" s="19" t="s">
        <v>1092</v>
      </c>
      <c r="S15" s="19" t="s">
        <v>1093</v>
      </c>
      <c r="T15" s="19" t="s">
        <v>230</v>
      </c>
      <c r="U15" s="19" t="s">
        <v>790</v>
      </c>
      <c r="V15" s="19" t="s">
        <v>782</v>
      </c>
      <c r="W15" s="20">
        <v>1</v>
      </c>
      <c r="X15" s="39">
        <v>1986</v>
      </c>
      <c r="Y15" s="39">
        <v>2010</v>
      </c>
      <c r="Z15" s="25">
        <v>40359</v>
      </c>
      <c r="AA15" s="19">
        <v>2013</v>
      </c>
      <c r="AB15" s="25">
        <v>41244</v>
      </c>
      <c r="AC15" s="19" t="s">
        <v>783</v>
      </c>
      <c r="AD15" s="19" t="s">
        <v>784</v>
      </c>
      <c r="AE15" s="21" t="s">
        <v>1494</v>
      </c>
      <c r="AF15" s="19">
        <v>2</v>
      </c>
      <c r="AG15" s="19">
        <v>39</v>
      </c>
      <c r="AH15" s="19" t="s">
        <v>792</v>
      </c>
      <c r="AI15" s="19"/>
      <c r="AJ15" s="19"/>
      <c r="AK15" s="19"/>
      <c r="AL15" s="43" t="s">
        <v>242</v>
      </c>
      <c r="AM15" s="19">
        <v>0</v>
      </c>
      <c r="AN15" s="19" t="s">
        <v>1406</v>
      </c>
      <c r="AO15" s="19" t="s">
        <v>1348</v>
      </c>
      <c r="AP15" s="19">
        <v>829</v>
      </c>
      <c r="AQ15" s="26">
        <f>IFERROR(PropInfo[[#This Row],[Yardi]]*1,PropInfo[[#This Row],[Yardi]])</f>
        <v>20</v>
      </c>
    </row>
    <row r="16" spans="1:43" hidden="1" x14ac:dyDescent="0.2">
      <c r="A16" s="43" t="s">
        <v>707</v>
      </c>
      <c r="B16" s="19" t="s">
        <v>1203</v>
      </c>
      <c r="C16" s="37">
        <v>2</v>
      </c>
      <c r="D16" s="37">
        <v>13594</v>
      </c>
      <c r="E16" s="19" t="s">
        <v>806</v>
      </c>
      <c r="F16" s="19" t="s">
        <v>1409</v>
      </c>
      <c r="G16" s="19" t="s">
        <v>835</v>
      </c>
      <c r="H16" s="19" t="s">
        <v>25</v>
      </c>
      <c r="I16" s="19" t="s">
        <v>1137</v>
      </c>
      <c r="J16" s="19" t="s">
        <v>26</v>
      </c>
      <c r="K16" s="19" t="s">
        <v>27</v>
      </c>
      <c r="L16" s="19">
        <v>98109</v>
      </c>
      <c r="M16" s="19">
        <v>47.62274</v>
      </c>
      <c r="N16" s="19">
        <v>-122.340722</v>
      </c>
      <c r="O16" s="19" t="s">
        <v>1090</v>
      </c>
      <c r="P16" s="19" t="s">
        <v>1412</v>
      </c>
      <c r="Q16" s="19" t="s">
        <v>1091</v>
      </c>
      <c r="R16" s="19" t="s">
        <v>1092</v>
      </c>
      <c r="S16" s="19" t="s">
        <v>1134</v>
      </c>
      <c r="T16" s="19" t="s">
        <v>1138</v>
      </c>
      <c r="U16" s="19" t="s">
        <v>790</v>
      </c>
      <c r="V16" s="19" t="s">
        <v>806</v>
      </c>
      <c r="W16" s="20">
        <v>0.5</v>
      </c>
      <c r="X16" s="39">
        <v>2016</v>
      </c>
      <c r="Y16" s="39">
        <v>2017</v>
      </c>
      <c r="Z16" s="25">
        <v>42965</v>
      </c>
      <c r="AA16" s="19">
        <v>2019</v>
      </c>
      <c r="AB16" s="25">
        <v>43160</v>
      </c>
      <c r="AC16" s="19" t="s">
        <v>804</v>
      </c>
      <c r="AD16" s="19" t="s">
        <v>808</v>
      </c>
      <c r="AE16" s="21">
        <v>0</v>
      </c>
      <c r="AF16" s="19">
        <v>8</v>
      </c>
      <c r="AG16" s="19">
        <v>1</v>
      </c>
      <c r="AH16" s="19" t="s">
        <v>792</v>
      </c>
      <c r="AI16" s="19"/>
      <c r="AJ16" s="19"/>
      <c r="AK16" s="19"/>
      <c r="AL16" s="43" t="e">
        <v>#N/A</v>
      </c>
      <c r="AM16" s="19" t="e">
        <v>#N/A</v>
      </c>
      <c r="AN16" s="19" t="e">
        <v>#N/A</v>
      </c>
      <c r="AO16" s="19" t="s">
        <v>1565</v>
      </c>
      <c r="AP16" s="19">
        <v>0</v>
      </c>
      <c r="AQ16" s="26">
        <f>IFERROR(PropInfo[[#This Row],[Yardi]]*1,PropInfo[[#This Row],[Yardi]])</f>
        <v>466</v>
      </c>
    </row>
    <row r="17" spans="1:43" x14ac:dyDescent="0.2">
      <c r="A17" s="43" t="s">
        <v>540</v>
      </c>
      <c r="B17" s="19" t="s">
        <v>541</v>
      </c>
      <c r="C17" s="37">
        <v>349</v>
      </c>
      <c r="D17" s="37">
        <v>512831</v>
      </c>
      <c r="E17" s="19" t="s" vm="10">
        <v>1368</v>
      </c>
      <c r="F17" s="19" t="s">
        <v>1409</v>
      </c>
      <c r="G17" s="19" t="s">
        <v>781</v>
      </c>
      <c r="H17" s="19" t="s">
        <v>541</v>
      </c>
      <c r="I17" s="19" t="s">
        <v>1050</v>
      </c>
      <c r="J17" s="19" t="s">
        <v>121</v>
      </c>
      <c r="K17" s="19" t="s">
        <v>6</v>
      </c>
      <c r="L17" s="19">
        <v>92707</v>
      </c>
      <c r="M17" s="19">
        <v>33.698996999999999</v>
      </c>
      <c r="N17" s="19">
        <v>-117.86557000000001</v>
      </c>
      <c r="O17" s="19" t="s">
        <v>929</v>
      </c>
      <c r="P17" s="19" t="s">
        <v>1415</v>
      </c>
      <c r="Q17" s="19" t="s">
        <v>1017</v>
      </c>
      <c r="R17" s="19" t="s">
        <v>510</v>
      </c>
      <c r="S17" s="19" t="s">
        <v>1018</v>
      </c>
      <c r="T17" s="19" t="s">
        <v>121</v>
      </c>
      <c r="U17" s="19" t="s">
        <v>790</v>
      </c>
      <c r="V17" s="19" t="s">
        <v>782</v>
      </c>
      <c r="W17" s="20">
        <v>0.97</v>
      </c>
      <c r="X17" s="39">
        <v>2010</v>
      </c>
      <c r="Y17" s="39">
        <v>2010</v>
      </c>
      <c r="Z17" s="25">
        <v>40242</v>
      </c>
      <c r="AA17" s="19">
        <v>2011</v>
      </c>
      <c r="AB17" s="25">
        <v>40360</v>
      </c>
      <c r="AC17" s="19" t="s">
        <v>783</v>
      </c>
      <c r="AD17" s="19" t="s">
        <v>808</v>
      </c>
      <c r="AE17" s="21">
        <v>349</v>
      </c>
      <c r="AF17" s="19">
        <v>25</v>
      </c>
      <c r="AG17" s="19">
        <v>2</v>
      </c>
      <c r="AH17" s="19" t="s">
        <v>809</v>
      </c>
      <c r="AI17" s="19"/>
      <c r="AJ17" s="19"/>
      <c r="AK17" s="19"/>
      <c r="AL17" s="43" t="s">
        <v>540</v>
      </c>
      <c r="AM17" s="19">
        <v>0</v>
      </c>
      <c r="AN17" s="19" t="s">
        <v>1406</v>
      </c>
      <c r="AO17" s="19" t="s">
        <v>1529</v>
      </c>
      <c r="AP17" s="19">
        <v>34430</v>
      </c>
      <c r="AQ17" s="26">
        <f>IFERROR(PropInfo[[#This Row],[Yardi]]*1,PropInfo[[#This Row],[Yardi]])</f>
        <v>22</v>
      </c>
    </row>
    <row r="18" spans="1:43" hidden="1" x14ac:dyDescent="0.2">
      <c r="A18" s="43" t="s">
        <v>642</v>
      </c>
      <c r="B18" s="19" t="s">
        <v>1165</v>
      </c>
      <c r="C18" s="37">
        <v>7</v>
      </c>
      <c r="D18" s="37">
        <v>31872</v>
      </c>
      <c r="E18" s="19" t="s">
        <v>762</v>
      </c>
      <c r="F18" s="19" t="s">
        <v>1409</v>
      </c>
      <c r="G18" s="19" t="s">
        <v>835</v>
      </c>
      <c r="H18" s="19" t="s">
        <v>29</v>
      </c>
      <c r="I18" s="19" t="s">
        <v>643</v>
      </c>
      <c r="J18" s="19" t="s">
        <v>30</v>
      </c>
      <c r="K18" s="19" t="s">
        <v>6</v>
      </c>
      <c r="L18" s="19">
        <v>94596</v>
      </c>
      <c r="M18" s="19">
        <v>37.893244000000003</v>
      </c>
      <c r="N18" s="19">
        <v>-122.05880000000001</v>
      </c>
      <c r="O18" s="19" t="s">
        <v>786</v>
      </c>
      <c r="P18" s="19" t="s">
        <v>1414</v>
      </c>
      <c r="Q18" s="19" t="s">
        <v>853</v>
      </c>
      <c r="R18" s="19" t="s">
        <v>881</v>
      </c>
      <c r="S18" s="19" t="s">
        <v>87</v>
      </c>
      <c r="T18" s="19" t="s">
        <v>882</v>
      </c>
      <c r="U18" s="19" t="s">
        <v>779</v>
      </c>
      <c r="V18" s="19" t="s">
        <v>817</v>
      </c>
      <c r="W18" s="20">
        <v>0.96</v>
      </c>
      <c r="X18" s="39">
        <v>2016</v>
      </c>
      <c r="Y18" s="39">
        <v>2013</v>
      </c>
      <c r="Z18" s="25">
        <v>39434</v>
      </c>
      <c r="AA18" s="19">
        <v>2017</v>
      </c>
      <c r="AB18" s="25">
        <v>42644</v>
      </c>
      <c r="AC18" s="19" t="s">
        <v>804</v>
      </c>
      <c r="AD18" s="19" t="s">
        <v>800</v>
      </c>
      <c r="AE18" s="21">
        <v>0</v>
      </c>
      <c r="AF18" s="19">
        <v>4</v>
      </c>
      <c r="AG18" s="19">
        <v>2</v>
      </c>
      <c r="AH18" s="19"/>
      <c r="AI18" s="19"/>
      <c r="AJ18" s="19"/>
      <c r="AK18" s="19"/>
      <c r="AL18" s="43" t="e">
        <v>#N/A</v>
      </c>
      <c r="AM18" s="19" t="e">
        <v>#N/A</v>
      </c>
      <c r="AN18" s="19" t="e">
        <v>#N/A</v>
      </c>
      <c r="AO18" s="19" t="s">
        <v>1565</v>
      </c>
      <c r="AP18" s="19">
        <v>0</v>
      </c>
      <c r="AQ18" s="26">
        <f>IFERROR(PropInfo[[#This Row],[Yardi]]*1,PropInfo[[#This Row],[Yardi]])</f>
        <v>373</v>
      </c>
    </row>
    <row r="19" spans="1:43" x14ac:dyDescent="0.2">
      <c r="A19" s="43" t="s">
        <v>7</v>
      </c>
      <c r="B19" s="19" t="s">
        <v>8</v>
      </c>
      <c r="C19" s="37">
        <v>323</v>
      </c>
      <c r="D19" s="37">
        <v>296133</v>
      </c>
      <c r="E19" s="19" t="s" vm="181">
        <v>1368</v>
      </c>
      <c r="F19" s="19" t="s">
        <v>1409</v>
      </c>
      <c r="G19" s="19" t="s">
        <v>781</v>
      </c>
      <c r="H19" s="19" t="s">
        <v>8</v>
      </c>
      <c r="I19" s="19" t="s">
        <v>803</v>
      </c>
      <c r="J19" s="19" t="s">
        <v>9</v>
      </c>
      <c r="K19" s="19" t="s">
        <v>6</v>
      </c>
      <c r="L19" s="19">
        <v>95112</v>
      </c>
      <c r="M19" s="19">
        <v>37.335529000000001</v>
      </c>
      <c r="N19" s="19">
        <v>-121.887001</v>
      </c>
      <c r="O19" s="19" t="s">
        <v>786</v>
      </c>
      <c r="P19" s="19" t="s">
        <v>1414</v>
      </c>
      <c r="Q19" s="19" t="s">
        <v>787</v>
      </c>
      <c r="R19" s="19" t="s">
        <v>5</v>
      </c>
      <c r="S19" s="19" t="s">
        <v>797</v>
      </c>
      <c r="T19" s="19" t="s">
        <v>805</v>
      </c>
      <c r="U19" s="19" t="s">
        <v>790</v>
      </c>
      <c r="V19" s="19" t="s">
        <v>782</v>
      </c>
      <c r="W19" s="20">
        <v>1</v>
      </c>
      <c r="X19" s="39">
        <v>2001</v>
      </c>
      <c r="Y19" s="39">
        <v>2010</v>
      </c>
      <c r="Z19" s="25">
        <v>40368</v>
      </c>
      <c r="AA19" s="19">
        <v>2011</v>
      </c>
      <c r="AB19" s="25">
        <v>40391</v>
      </c>
      <c r="AC19" s="19" t="s">
        <v>804</v>
      </c>
      <c r="AD19" s="19" t="s">
        <v>800</v>
      </c>
      <c r="AE19" s="21">
        <v>0</v>
      </c>
      <c r="AF19" s="19">
        <v>5</v>
      </c>
      <c r="AG19" s="19">
        <v>16</v>
      </c>
      <c r="AH19" s="19" t="s">
        <v>792</v>
      </c>
      <c r="AI19" s="19" t="s">
        <v>1377</v>
      </c>
      <c r="AJ19" s="19">
        <v>67</v>
      </c>
      <c r="AK19" s="19">
        <v>2031</v>
      </c>
      <c r="AL19" s="43" t="s">
        <v>7</v>
      </c>
      <c r="AM19" s="19">
        <v>0</v>
      </c>
      <c r="AN19" s="19" t="s">
        <v>1406</v>
      </c>
      <c r="AO19" s="19" t="s">
        <v>1527</v>
      </c>
      <c r="AP19" s="19">
        <v>14108</v>
      </c>
      <c r="AQ19" s="26">
        <f>IFERROR(PropInfo[[#This Row],[Yardi]]*1,PropInfo[[#This Row],[Yardi]])</f>
        <v>23</v>
      </c>
    </row>
    <row r="20" spans="1:43" x14ac:dyDescent="0.2">
      <c r="A20" s="43" t="s">
        <v>566</v>
      </c>
      <c r="B20" s="19" t="s">
        <v>780</v>
      </c>
      <c r="C20" s="37">
        <v>264</v>
      </c>
      <c r="D20" s="37">
        <v>168432</v>
      </c>
      <c r="E20" s="19" t="s" vm="5">
        <v>1368</v>
      </c>
      <c r="F20" s="19" t="s">
        <v>1409</v>
      </c>
      <c r="G20" s="19" t="s">
        <v>781</v>
      </c>
      <c r="H20" s="19" t="s">
        <v>780</v>
      </c>
      <c r="I20" s="19" t="s">
        <v>567</v>
      </c>
      <c r="J20" s="19" t="s">
        <v>568</v>
      </c>
      <c r="K20" s="19" t="s">
        <v>6</v>
      </c>
      <c r="L20" s="19">
        <v>95008</v>
      </c>
      <c r="M20" s="19">
        <v>37.282837000000001</v>
      </c>
      <c r="N20" s="19">
        <v>-121.938171</v>
      </c>
      <c r="O20" s="19" t="s">
        <v>786</v>
      </c>
      <c r="P20" s="19" t="s">
        <v>1414</v>
      </c>
      <c r="Q20" s="19" t="s">
        <v>787</v>
      </c>
      <c r="R20" s="19" t="s">
        <v>5</v>
      </c>
      <c r="S20" s="19" t="s">
        <v>788</v>
      </c>
      <c r="T20" s="19" t="s">
        <v>789</v>
      </c>
      <c r="U20" s="19" t="s">
        <v>790</v>
      </c>
      <c r="V20" s="19" t="s">
        <v>782</v>
      </c>
      <c r="W20" s="20">
        <v>1</v>
      </c>
      <c r="X20" s="39">
        <v>1973</v>
      </c>
      <c r="Y20" s="39">
        <v>2010</v>
      </c>
      <c r="Z20" s="25">
        <v>40386</v>
      </c>
      <c r="AA20" s="19">
        <v>2011</v>
      </c>
      <c r="AB20" s="25">
        <v>40422</v>
      </c>
      <c r="AC20" s="19" t="s">
        <v>783</v>
      </c>
      <c r="AD20" s="19" t="s">
        <v>784</v>
      </c>
      <c r="AE20" s="21">
        <v>0</v>
      </c>
      <c r="AF20" s="19">
        <v>2</v>
      </c>
      <c r="AG20" s="19">
        <v>6</v>
      </c>
      <c r="AH20" s="19" t="s">
        <v>785</v>
      </c>
      <c r="AI20" s="19"/>
      <c r="AJ20" s="19"/>
      <c r="AK20" s="19"/>
      <c r="AL20" s="43" t="s">
        <v>566</v>
      </c>
      <c r="AM20" s="19">
        <v>0</v>
      </c>
      <c r="AN20" s="19" t="s">
        <v>1406</v>
      </c>
      <c r="AO20" s="19" t="s">
        <v>1525</v>
      </c>
      <c r="AP20" s="19">
        <v>25260</v>
      </c>
      <c r="AQ20" s="26">
        <f>IFERROR(PropInfo[[#This Row],[Yardi]]*1,PropInfo[[#This Row],[Yardi]])</f>
        <v>25</v>
      </c>
    </row>
    <row r="21" spans="1:43" x14ac:dyDescent="0.2">
      <c r="A21" s="43" t="s">
        <v>76</v>
      </c>
      <c r="B21" s="19" t="s">
        <v>993</v>
      </c>
      <c r="C21" s="37">
        <v>446</v>
      </c>
      <c r="D21" s="37">
        <v>345088</v>
      </c>
      <c r="E21" s="19" t="s" vm="19">
        <v>1368</v>
      </c>
      <c r="F21" s="19" t="s">
        <v>1409</v>
      </c>
      <c r="G21" s="19" t="s">
        <v>781</v>
      </c>
      <c r="H21" s="19" t="s">
        <v>993</v>
      </c>
      <c r="I21" s="19" t="s">
        <v>77</v>
      </c>
      <c r="J21" s="19" t="s">
        <v>78</v>
      </c>
      <c r="K21" s="19" t="s">
        <v>6</v>
      </c>
      <c r="L21" s="19">
        <v>91367</v>
      </c>
      <c r="M21" s="19">
        <v>34.185389999999998</v>
      </c>
      <c r="N21" s="19">
        <v>-118.611816</v>
      </c>
      <c r="O21" s="19" t="s">
        <v>929</v>
      </c>
      <c r="P21" s="19" t="s">
        <v>1413</v>
      </c>
      <c r="Q21" s="19" t="s">
        <v>930</v>
      </c>
      <c r="R21" s="19" t="s">
        <v>21</v>
      </c>
      <c r="S21" s="19" t="s">
        <v>78</v>
      </c>
      <c r="T21" s="19" t="s">
        <v>78</v>
      </c>
      <c r="U21" s="19" t="s">
        <v>790</v>
      </c>
      <c r="V21" s="19" t="s">
        <v>782</v>
      </c>
      <c r="W21" s="20">
        <v>1</v>
      </c>
      <c r="X21" s="39">
        <v>1970</v>
      </c>
      <c r="Y21" s="39">
        <v>1999</v>
      </c>
      <c r="Z21" s="25">
        <v>36433</v>
      </c>
      <c r="AA21" s="19">
        <v>2000</v>
      </c>
      <c r="AB21" s="25">
        <v>36464</v>
      </c>
      <c r="AC21" s="19" t="s">
        <v>783</v>
      </c>
      <c r="AD21" s="19" t="s">
        <v>784</v>
      </c>
      <c r="AE21" s="21">
        <v>0</v>
      </c>
      <c r="AF21" s="19">
        <v>3</v>
      </c>
      <c r="AG21" s="19">
        <v>17</v>
      </c>
      <c r="AH21" s="19" t="s">
        <v>785</v>
      </c>
      <c r="AI21" s="19" t="s">
        <v>1378</v>
      </c>
      <c r="AJ21" s="19">
        <v>438</v>
      </c>
      <c r="AK21" s="19" t="s">
        <v>1379</v>
      </c>
      <c r="AL21" s="43" t="s">
        <v>76</v>
      </c>
      <c r="AM21" s="19">
        <v>0</v>
      </c>
      <c r="AN21" s="19" t="s">
        <v>1406</v>
      </c>
      <c r="AO21" s="19" t="s">
        <v>1363</v>
      </c>
      <c r="AP21" s="19">
        <v>9865</v>
      </c>
      <c r="AQ21" s="26">
        <f>IFERROR(PropInfo[[#This Row],[Yardi]]*1,PropInfo[[#This Row],[Yardi]])</f>
        <v>27</v>
      </c>
    </row>
    <row r="22" spans="1:43" x14ac:dyDescent="0.2">
      <c r="A22" s="43" t="s">
        <v>41</v>
      </c>
      <c r="B22" s="19" t="s">
        <v>42</v>
      </c>
      <c r="C22" s="37">
        <v>301</v>
      </c>
      <c r="D22" s="37">
        <v>241681</v>
      </c>
      <c r="E22" s="19" t="s" vm="11">
        <v>1368</v>
      </c>
      <c r="F22" s="19" t="s">
        <v>1409</v>
      </c>
      <c r="G22" s="19" t="s">
        <v>781</v>
      </c>
      <c r="H22" s="19" t="s">
        <v>42</v>
      </c>
      <c r="I22" s="19" t="s">
        <v>43</v>
      </c>
      <c r="J22" s="19" t="s">
        <v>40</v>
      </c>
      <c r="K22" s="19" t="s">
        <v>6</v>
      </c>
      <c r="L22" s="19">
        <v>91901</v>
      </c>
      <c r="M22" s="19">
        <v>32.836075000000001</v>
      </c>
      <c r="N22" s="19">
        <v>-116.77059199999999</v>
      </c>
      <c r="O22" s="19" t="s">
        <v>929</v>
      </c>
      <c r="P22" s="19" t="s">
        <v>1415</v>
      </c>
      <c r="Q22" s="19" t="s">
        <v>1052</v>
      </c>
      <c r="R22" s="19" t="s">
        <v>39</v>
      </c>
      <c r="S22" s="19" t="s">
        <v>1235</v>
      </c>
      <c r="T22" s="19" t="s">
        <v>1053</v>
      </c>
      <c r="U22" s="19" t="s">
        <v>820</v>
      </c>
      <c r="V22" s="19" t="s">
        <v>782</v>
      </c>
      <c r="W22" s="20">
        <v>1</v>
      </c>
      <c r="X22" s="39">
        <v>1971</v>
      </c>
      <c r="Y22" s="39">
        <v>2002</v>
      </c>
      <c r="Z22" s="25">
        <v>37607</v>
      </c>
      <c r="AA22" s="19">
        <v>2004</v>
      </c>
      <c r="AB22" s="25">
        <v>37652</v>
      </c>
      <c r="AC22" s="19" t="s">
        <v>804</v>
      </c>
      <c r="AD22" s="19" t="s">
        <v>784</v>
      </c>
      <c r="AE22" s="21">
        <v>0</v>
      </c>
      <c r="AF22" s="19">
        <v>1</v>
      </c>
      <c r="AG22" s="19">
        <v>10</v>
      </c>
      <c r="AH22" s="19" t="s">
        <v>870</v>
      </c>
      <c r="AI22" s="19"/>
      <c r="AJ22" s="19"/>
      <c r="AK22" s="19"/>
      <c r="AL22" s="43" t="s">
        <v>41</v>
      </c>
      <c r="AM22" s="19">
        <v>0</v>
      </c>
      <c r="AN22" s="19" t="s">
        <v>1406</v>
      </c>
      <c r="AO22" s="19" t="s">
        <v>1358</v>
      </c>
      <c r="AP22" s="19">
        <v>13162</v>
      </c>
      <c r="AQ22" s="26">
        <f>IFERROR(PropInfo[[#This Row],[Yardi]]*1,PropInfo[[#This Row],[Yardi]])</f>
        <v>28</v>
      </c>
    </row>
    <row r="23" spans="1:43" hidden="1" x14ac:dyDescent="0.2">
      <c r="A23" s="43" t="s">
        <v>44</v>
      </c>
      <c r="B23" s="19" t="s">
        <v>45</v>
      </c>
      <c r="C23" s="37">
        <v>6</v>
      </c>
      <c r="D23" s="37">
        <v>6498</v>
      </c>
      <c r="E23" s="19" t="s">
        <v>762</v>
      </c>
      <c r="F23" s="19" t="s">
        <v>1409</v>
      </c>
      <c r="G23" s="19" t="s">
        <v>835</v>
      </c>
      <c r="H23" s="19" t="s">
        <v>42</v>
      </c>
      <c r="I23" s="19" t="s">
        <v>43</v>
      </c>
      <c r="J23" s="19" t="s">
        <v>40</v>
      </c>
      <c r="K23" s="19" t="s">
        <v>6</v>
      </c>
      <c r="L23" s="19">
        <v>91901</v>
      </c>
      <c r="M23" s="19">
        <v>32.836075000000001</v>
      </c>
      <c r="N23" s="19">
        <v>-116.77059199999999</v>
      </c>
      <c r="O23" s="19" t="s">
        <v>929</v>
      </c>
      <c r="P23" s="19" t="s">
        <v>1415</v>
      </c>
      <c r="Q23" s="19" t="s">
        <v>1052</v>
      </c>
      <c r="R23" s="19" t="s">
        <v>39</v>
      </c>
      <c r="S23" s="19" t="s">
        <v>1235</v>
      </c>
      <c r="T23" s="19" t="s">
        <v>1053</v>
      </c>
      <c r="U23" s="19" t="s">
        <v>820</v>
      </c>
      <c r="V23" s="19" t="s">
        <v>782</v>
      </c>
      <c r="W23" s="20">
        <v>1</v>
      </c>
      <c r="X23" s="39">
        <v>1971</v>
      </c>
      <c r="Y23" s="39">
        <v>2002</v>
      </c>
      <c r="Z23" s="25">
        <v>37607</v>
      </c>
      <c r="AA23" s="19">
        <v>2004</v>
      </c>
      <c r="AB23" s="25">
        <v>37652</v>
      </c>
      <c r="AC23" s="19" t="s">
        <v>804</v>
      </c>
      <c r="AD23" s="19" t="s">
        <v>784</v>
      </c>
      <c r="AE23" s="21">
        <v>0</v>
      </c>
      <c r="AF23" s="19">
        <v>1</v>
      </c>
      <c r="AG23" s="19">
        <v>10</v>
      </c>
      <c r="AH23" s="19" t="s">
        <v>870</v>
      </c>
      <c r="AI23" s="19"/>
      <c r="AJ23" s="19"/>
      <c r="AK23" s="19"/>
      <c r="AL23" s="43" t="e">
        <v>#N/A</v>
      </c>
      <c r="AM23" s="19" t="e">
        <v>#N/A</v>
      </c>
      <c r="AN23" s="19" t="e">
        <v>#N/A</v>
      </c>
      <c r="AO23" s="19" t="s">
        <v>1565</v>
      </c>
      <c r="AP23" s="19">
        <v>0</v>
      </c>
      <c r="AQ23" s="26">
        <f>IFERROR(PropInfo[[#This Row],[Yardi]]*1,PropInfo[[#This Row],[Yardi]])</f>
        <v>29</v>
      </c>
    </row>
    <row r="24" spans="1:43" x14ac:dyDescent="0.2">
      <c r="A24" s="43" t="s">
        <v>136</v>
      </c>
      <c r="B24" s="19" t="s">
        <v>137</v>
      </c>
      <c r="C24" s="37">
        <v>188</v>
      </c>
      <c r="D24" s="37">
        <v>168428</v>
      </c>
      <c r="E24" s="19" t="s" vm="182">
        <v>1368</v>
      </c>
      <c r="F24" s="19" t="s">
        <v>1409</v>
      </c>
      <c r="G24" s="19" t="s">
        <v>781</v>
      </c>
      <c r="H24" s="19" t="s">
        <v>137</v>
      </c>
      <c r="I24" s="19" t="s">
        <v>844</v>
      </c>
      <c r="J24" s="19" t="s">
        <v>138</v>
      </c>
      <c r="K24" s="19" t="s">
        <v>6</v>
      </c>
      <c r="L24" s="19">
        <v>94086</v>
      </c>
      <c r="M24" s="19">
        <v>37.371673999999999</v>
      </c>
      <c r="N24" s="19">
        <v>-122.01664700000001</v>
      </c>
      <c r="O24" s="19" t="s">
        <v>786</v>
      </c>
      <c r="P24" s="19" t="s">
        <v>1414</v>
      </c>
      <c r="Q24" s="19" t="s">
        <v>787</v>
      </c>
      <c r="R24" s="19" t="s">
        <v>5</v>
      </c>
      <c r="S24" s="19" t="s">
        <v>788</v>
      </c>
      <c r="T24" s="19" t="s">
        <v>843</v>
      </c>
      <c r="U24" s="19" t="s">
        <v>790</v>
      </c>
      <c r="V24" s="19" t="s">
        <v>782</v>
      </c>
      <c r="W24" s="20">
        <v>1</v>
      </c>
      <c r="X24" s="39">
        <v>1989</v>
      </c>
      <c r="Y24" s="39">
        <v>1995</v>
      </c>
      <c r="Z24" s="25">
        <v>34877</v>
      </c>
      <c r="AA24" s="19">
        <v>1996</v>
      </c>
      <c r="AB24" s="25">
        <v>34911</v>
      </c>
      <c r="AC24" s="19" t="s">
        <v>783</v>
      </c>
      <c r="AD24" s="19" t="s">
        <v>784</v>
      </c>
      <c r="AE24" s="21">
        <v>0</v>
      </c>
      <c r="AF24" s="19">
        <v>3</v>
      </c>
      <c r="AG24" s="19">
        <v>9</v>
      </c>
      <c r="AH24" s="19" t="s">
        <v>792</v>
      </c>
      <c r="AI24" s="19"/>
      <c r="AJ24" s="19"/>
      <c r="AK24" s="19"/>
      <c r="AL24" s="43" t="s">
        <v>136</v>
      </c>
      <c r="AM24" s="19">
        <v>25</v>
      </c>
      <c r="AN24" s="19" t="s">
        <v>1403</v>
      </c>
      <c r="AO24" s="19" t="s">
        <v>1527</v>
      </c>
      <c r="AP24" s="19">
        <v>1147</v>
      </c>
      <c r="AQ24" s="26">
        <f>IFERROR(PropInfo[[#This Row],[Yardi]]*1,PropInfo[[#This Row],[Yardi]])</f>
        <v>30</v>
      </c>
    </row>
    <row r="25" spans="1:43" x14ac:dyDescent="0.2">
      <c r="A25" s="43" t="s">
        <v>103</v>
      </c>
      <c r="B25" s="19" t="s">
        <v>1424</v>
      </c>
      <c r="C25" s="37">
        <v>71</v>
      </c>
      <c r="D25" s="37">
        <v>75619</v>
      </c>
      <c r="E25" s="19" t="s" vm="8">
        <v>1368</v>
      </c>
      <c r="F25" s="19" t="s">
        <v>1409</v>
      </c>
      <c r="G25" s="19" t="s">
        <v>781</v>
      </c>
      <c r="H25" s="19" t="s">
        <v>1424</v>
      </c>
      <c r="I25" s="19" t="s">
        <v>892</v>
      </c>
      <c r="J25" s="19" t="s">
        <v>104</v>
      </c>
      <c r="K25" s="19" t="s">
        <v>6</v>
      </c>
      <c r="L25" s="19">
        <v>94002</v>
      </c>
      <c r="M25" s="19">
        <v>37.510078</v>
      </c>
      <c r="N25" s="19">
        <v>-122.302109</v>
      </c>
      <c r="O25" s="19" t="s">
        <v>786</v>
      </c>
      <c r="P25" s="19" t="s">
        <v>1414</v>
      </c>
      <c r="Q25" s="19" t="s">
        <v>893</v>
      </c>
      <c r="R25" s="19" t="s">
        <v>345</v>
      </c>
      <c r="S25" s="19" t="s">
        <v>345</v>
      </c>
      <c r="T25" s="19" t="s">
        <v>894</v>
      </c>
      <c r="U25" s="19" t="s">
        <v>790</v>
      </c>
      <c r="V25" s="19" t="s">
        <v>782</v>
      </c>
      <c r="W25" s="20">
        <v>1</v>
      </c>
      <c r="X25" s="39">
        <v>1974</v>
      </c>
      <c r="Y25" s="39">
        <v>2006</v>
      </c>
      <c r="Z25" s="25">
        <v>39016</v>
      </c>
      <c r="AA25" s="19">
        <v>2007</v>
      </c>
      <c r="AB25" s="25">
        <v>39051</v>
      </c>
      <c r="AC25" s="19" t="s">
        <v>783</v>
      </c>
      <c r="AD25" s="19" t="s">
        <v>800</v>
      </c>
      <c r="AE25" s="21">
        <v>0</v>
      </c>
      <c r="AF25" s="19">
        <v>5</v>
      </c>
      <c r="AG25" s="19">
        <v>1</v>
      </c>
      <c r="AH25" s="19" t="s">
        <v>792</v>
      </c>
      <c r="AI25" s="19"/>
      <c r="AJ25" s="19"/>
      <c r="AK25" s="19"/>
      <c r="AL25" s="43" t="s">
        <v>103</v>
      </c>
      <c r="AM25" s="19">
        <v>23</v>
      </c>
      <c r="AN25" s="19" t="s">
        <v>1403</v>
      </c>
      <c r="AO25" s="19" t="s">
        <v>1366</v>
      </c>
      <c r="AP25" s="19">
        <v>18698</v>
      </c>
      <c r="AQ25" s="26">
        <f>IFERROR(PropInfo[[#This Row],[Yardi]]*1,PropInfo[[#This Row],[Yardi]])</f>
        <v>31</v>
      </c>
    </row>
    <row r="26" spans="1:43" x14ac:dyDescent="0.2">
      <c r="A26" s="43" t="s">
        <v>142</v>
      </c>
      <c r="B26" s="19" t="s">
        <v>946</v>
      </c>
      <c r="C26" s="37">
        <v>456</v>
      </c>
      <c r="D26" s="37">
        <v>346608</v>
      </c>
      <c r="E26" s="19" t="s" vm="20">
        <v>1369</v>
      </c>
      <c r="F26" s="19" t="s">
        <v>1409</v>
      </c>
      <c r="G26" s="19" t="s">
        <v>781</v>
      </c>
      <c r="H26" s="19" t="s">
        <v>946</v>
      </c>
      <c r="I26" s="19" t="s">
        <v>143</v>
      </c>
      <c r="J26" s="19" t="s">
        <v>21</v>
      </c>
      <c r="K26" s="19" t="s">
        <v>6</v>
      </c>
      <c r="L26" s="19">
        <v>90012</v>
      </c>
      <c r="M26" s="19">
        <v>34.056026000000003</v>
      </c>
      <c r="N26" s="19">
        <v>-118.25353200000001</v>
      </c>
      <c r="O26" s="19" t="s">
        <v>929</v>
      </c>
      <c r="P26" s="19" t="s">
        <v>1413</v>
      </c>
      <c r="Q26" s="19" t="s">
        <v>930</v>
      </c>
      <c r="R26" s="19" t="s">
        <v>21</v>
      </c>
      <c r="S26" s="19" t="s">
        <v>944</v>
      </c>
      <c r="T26" s="19" t="s">
        <v>945</v>
      </c>
      <c r="U26" s="19" t="s">
        <v>790</v>
      </c>
      <c r="V26" s="19" t="s">
        <v>782</v>
      </c>
      <c r="W26" s="20">
        <v>1</v>
      </c>
      <c r="X26" s="39">
        <v>1968</v>
      </c>
      <c r="Y26" s="39">
        <v>1998</v>
      </c>
      <c r="Z26" s="25">
        <v>35886</v>
      </c>
      <c r="AA26" s="19">
        <v>1999</v>
      </c>
      <c r="AB26" s="25">
        <v>35946</v>
      </c>
      <c r="AC26" s="19" t="s">
        <v>783</v>
      </c>
      <c r="AD26" s="19" t="s">
        <v>808</v>
      </c>
      <c r="AE26" s="21">
        <v>0</v>
      </c>
      <c r="AF26" s="19">
        <v>19</v>
      </c>
      <c r="AG26" s="19">
        <v>2</v>
      </c>
      <c r="AH26" s="19" t="s">
        <v>792</v>
      </c>
      <c r="AI26" s="19" t="s">
        <v>1380</v>
      </c>
      <c r="AJ26" s="19">
        <v>398</v>
      </c>
      <c r="AK26" s="19" t="s">
        <v>1379</v>
      </c>
      <c r="AL26" s="43" t="s">
        <v>142</v>
      </c>
      <c r="AM26" s="19">
        <v>0</v>
      </c>
      <c r="AN26" s="19" t="s">
        <v>1406</v>
      </c>
      <c r="AO26" s="19" t="s">
        <v>1528</v>
      </c>
      <c r="AP26" s="19">
        <v>3058</v>
      </c>
      <c r="AQ26" s="26">
        <f>IFERROR(PropInfo[[#This Row],[Yardi]]*1,PropInfo[[#This Row],[Yardi]])</f>
        <v>32</v>
      </c>
    </row>
    <row r="27" spans="1:43" x14ac:dyDescent="0.2">
      <c r="A27" s="43" t="s">
        <v>111</v>
      </c>
      <c r="B27" s="19" t="s">
        <v>112</v>
      </c>
      <c r="C27" s="37">
        <v>120</v>
      </c>
      <c r="D27" s="37">
        <v>120424</v>
      </c>
      <c r="E27" s="19" t="s" vm="13">
        <v>1368</v>
      </c>
      <c r="F27" s="19" t="s">
        <v>1409</v>
      </c>
      <c r="G27" s="19" t="s">
        <v>781</v>
      </c>
      <c r="H27" s="19" t="s">
        <v>112</v>
      </c>
      <c r="I27" s="19" t="s">
        <v>113</v>
      </c>
      <c r="J27" s="19" t="s">
        <v>114</v>
      </c>
      <c r="K27" s="19" t="s">
        <v>6</v>
      </c>
      <c r="L27" s="19">
        <v>91902</v>
      </c>
      <c r="M27" s="19">
        <v>32.679927999999997</v>
      </c>
      <c r="N27" s="19">
        <v>-117.027</v>
      </c>
      <c r="O27" s="19" t="s">
        <v>929</v>
      </c>
      <c r="P27" s="19" t="s">
        <v>1415</v>
      </c>
      <c r="Q27" s="19" t="s">
        <v>1052</v>
      </c>
      <c r="R27" s="19" t="s">
        <v>39</v>
      </c>
      <c r="S27" s="19" t="s">
        <v>477</v>
      </c>
      <c r="T27" s="19" t="s">
        <v>1054</v>
      </c>
      <c r="U27" s="19" t="s">
        <v>820</v>
      </c>
      <c r="V27" s="19" t="s">
        <v>782</v>
      </c>
      <c r="W27" s="20">
        <v>1</v>
      </c>
      <c r="X27" s="39">
        <v>1983</v>
      </c>
      <c r="Y27" s="39">
        <v>2002</v>
      </c>
      <c r="Z27" s="25">
        <v>37607</v>
      </c>
      <c r="AA27" s="19">
        <v>2004</v>
      </c>
      <c r="AB27" s="25">
        <v>37652</v>
      </c>
      <c r="AC27" s="19" t="s">
        <v>783</v>
      </c>
      <c r="AD27" s="19" t="s">
        <v>784</v>
      </c>
      <c r="AE27" s="21">
        <v>120</v>
      </c>
      <c r="AF27" s="19">
        <v>2</v>
      </c>
      <c r="AG27" s="19">
        <v>5</v>
      </c>
      <c r="AH27" s="19" t="s">
        <v>809</v>
      </c>
      <c r="AI27" s="19"/>
      <c r="AJ27" s="19"/>
      <c r="AK27" s="19"/>
      <c r="AL27" s="43" t="s">
        <v>111</v>
      </c>
      <c r="AM27" s="19">
        <v>0</v>
      </c>
      <c r="AN27" s="19" t="s">
        <v>1406</v>
      </c>
      <c r="AO27" s="19" t="s">
        <v>1356</v>
      </c>
      <c r="AP27" s="19">
        <v>13174</v>
      </c>
      <c r="AQ27" s="26">
        <f>IFERROR(PropInfo[[#This Row],[Yardi]]*1,PropInfo[[#This Row],[Yardi]])</f>
        <v>33</v>
      </c>
    </row>
    <row r="28" spans="1:43" x14ac:dyDescent="0.2">
      <c r="A28" s="43" t="s">
        <v>134</v>
      </c>
      <c r="B28" s="19" t="s">
        <v>1129</v>
      </c>
      <c r="C28" s="38">
        <v>264</v>
      </c>
      <c r="D28" s="37">
        <v>201300</v>
      </c>
      <c r="E28" s="19" t="s" vm="184">
        <v>1368</v>
      </c>
      <c r="F28" s="19" t="s">
        <v>1409</v>
      </c>
      <c r="G28" s="19" t="s">
        <v>781</v>
      </c>
      <c r="H28" s="19" t="s">
        <v>1129</v>
      </c>
      <c r="I28" s="19" t="s">
        <v>1130</v>
      </c>
      <c r="J28" s="19" t="s">
        <v>135</v>
      </c>
      <c r="K28" s="19" t="s">
        <v>27</v>
      </c>
      <c r="L28" s="19">
        <v>98056</v>
      </c>
      <c r="M28" s="19">
        <v>47.487476000000001</v>
      </c>
      <c r="N28" s="19">
        <v>-122.18682099999999</v>
      </c>
      <c r="O28" s="19" t="s">
        <v>1090</v>
      </c>
      <c r="P28" s="19" t="s">
        <v>1412</v>
      </c>
      <c r="Q28" s="19" t="s">
        <v>1091</v>
      </c>
      <c r="R28" s="19" t="s">
        <v>1092</v>
      </c>
      <c r="S28" s="19" t="s">
        <v>1114</v>
      </c>
      <c r="T28" s="19" t="s">
        <v>135</v>
      </c>
      <c r="U28" s="19" t="s">
        <v>790</v>
      </c>
      <c r="V28" s="19" t="s">
        <v>782</v>
      </c>
      <c r="W28" s="20">
        <v>1</v>
      </c>
      <c r="X28" s="39">
        <v>1986</v>
      </c>
      <c r="Y28" s="39">
        <v>1996</v>
      </c>
      <c r="Z28" s="25">
        <v>35429</v>
      </c>
      <c r="AA28" s="19">
        <v>1997</v>
      </c>
      <c r="AB28" s="25">
        <v>35461</v>
      </c>
      <c r="AC28" s="19" t="s">
        <v>783</v>
      </c>
      <c r="AD28" s="19" t="s">
        <v>784</v>
      </c>
      <c r="AE28" s="21" t="s">
        <v>1494</v>
      </c>
      <c r="AF28" s="19">
        <v>3</v>
      </c>
      <c r="AG28" s="19">
        <v>10</v>
      </c>
      <c r="AH28" s="19" t="s">
        <v>870</v>
      </c>
      <c r="AI28" s="19"/>
      <c r="AJ28" s="19"/>
      <c r="AK28" s="19"/>
      <c r="AL28" s="43" t="s">
        <v>134</v>
      </c>
      <c r="AM28" s="19">
        <v>0</v>
      </c>
      <c r="AN28" s="19" t="s">
        <v>1406</v>
      </c>
      <c r="AO28" s="19" t="s">
        <v>1353</v>
      </c>
      <c r="AP28" s="19">
        <v>1146</v>
      </c>
      <c r="AQ28" s="26">
        <f>IFERROR(PropInfo[[#This Row],[Yardi]]*1,PropInfo[[#This Row],[Yardi]])</f>
        <v>34</v>
      </c>
    </row>
    <row r="29" spans="1:43" x14ac:dyDescent="0.2">
      <c r="A29" s="43" t="s">
        <v>133</v>
      </c>
      <c r="B29" s="19" t="s">
        <v>1117</v>
      </c>
      <c r="C29" s="37">
        <v>108</v>
      </c>
      <c r="D29" s="37">
        <v>91600</v>
      </c>
      <c r="E29" s="19" t="s" vm="9">
        <v>1368</v>
      </c>
      <c r="F29" s="19" t="s">
        <v>1409</v>
      </c>
      <c r="G29" s="19" t="s">
        <v>781</v>
      </c>
      <c r="H29" s="19" t="s">
        <v>1117</v>
      </c>
      <c r="I29" s="19" t="s">
        <v>1118</v>
      </c>
      <c r="J29" s="19" t="s">
        <v>61</v>
      </c>
      <c r="K29" s="19" t="s">
        <v>27</v>
      </c>
      <c r="L29" s="19">
        <v>98033</v>
      </c>
      <c r="M29" s="19">
        <v>47.666164000000002</v>
      </c>
      <c r="N29" s="19">
        <v>-122.167603</v>
      </c>
      <c r="O29" s="19" t="s">
        <v>1090</v>
      </c>
      <c r="P29" s="19" t="s">
        <v>1412</v>
      </c>
      <c r="Q29" s="19" t="s">
        <v>1091</v>
      </c>
      <c r="R29" s="19" t="s">
        <v>1092</v>
      </c>
      <c r="S29" s="19" t="s">
        <v>1093</v>
      </c>
      <c r="T29" s="19" t="s">
        <v>1108</v>
      </c>
      <c r="U29" s="19" t="s">
        <v>790</v>
      </c>
      <c r="V29" s="19" t="s">
        <v>782</v>
      </c>
      <c r="W29" s="20">
        <v>1</v>
      </c>
      <c r="X29" s="39">
        <v>1986</v>
      </c>
      <c r="Y29" s="39">
        <v>1997</v>
      </c>
      <c r="Z29" s="25">
        <v>35731</v>
      </c>
      <c r="AA29" s="19">
        <v>1998</v>
      </c>
      <c r="AB29" s="25">
        <v>35764</v>
      </c>
      <c r="AC29" s="19" t="s">
        <v>783</v>
      </c>
      <c r="AD29" s="19" t="s">
        <v>784</v>
      </c>
      <c r="AE29" s="21" t="s">
        <v>1494</v>
      </c>
      <c r="AF29" s="19">
        <v>2</v>
      </c>
      <c r="AG29" s="19">
        <v>13</v>
      </c>
      <c r="AH29" s="19" t="s">
        <v>785</v>
      </c>
      <c r="AI29" s="19"/>
      <c r="AJ29" s="19"/>
      <c r="AK29" s="19"/>
      <c r="AL29" s="43" t="s">
        <v>133</v>
      </c>
      <c r="AM29" s="19">
        <v>0</v>
      </c>
      <c r="AN29" s="19" t="s">
        <v>1406</v>
      </c>
      <c r="AO29" s="19" t="s">
        <v>1349</v>
      </c>
      <c r="AP29" s="19" t="s">
        <v>1516</v>
      </c>
      <c r="AQ29" s="26">
        <f>IFERROR(PropInfo[[#This Row],[Yardi]]*1,PropInfo[[#This Row],[Yardi]])</f>
        <v>35</v>
      </c>
    </row>
    <row r="30" spans="1:43" x14ac:dyDescent="0.2">
      <c r="A30" s="43" t="s">
        <v>96</v>
      </c>
      <c r="B30" s="19" t="s">
        <v>97</v>
      </c>
      <c r="C30" s="37">
        <v>63</v>
      </c>
      <c r="D30" s="37">
        <v>79296</v>
      </c>
      <c r="E30" s="19" t="s" vm="21">
        <v>1368</v>
      </c>
      <c r="F30" s="19" t="s">
        <v>1409</v>
      </c>
      <c r="G30" s="19" t="s">
        <v>781</v>
      </c>
      <c r="H30" s="19" t="s">
        <v>97</v>
      </c>
      <c r="I30" s="19" t="s">
        <v>98</v>
      </c>
      <c r="J30" s="19" t="s">
        <v>21</v>
      </c>
      <c r="K30" s="19" t="s">
        <v>6</v>
      </c>
      <c r="L30" s="19">
        <v>90025</v>
      </c>
      <c r="M30" s="19">
        <v>34.042552999999998</v>
      </c>
      <c r="N30" s="19">
        <v>-118.44368</v>
      </c>
      <c r="O30" s="19" t="s">
        <v>929</v>
      </c>
      <c r="P30" s="19" t="s">
        <v>1413</v>
      </c>
      <c r="Q30" s="19" t="s">
        <v>930</v>
      </c>
      <c r="R30" s="19" t="s">
        <v>21</v>
      </c>
      <c r="S30" s="19" t="s">
        <v>956</v>
      </c>
      <c r="T30" s="19" t="s">
        <v>958</v>
      </c>
      <c r="U30" s="19" t="s">
        <v>790</v>
      </c>
      <c r="V30" s="19" t="s">
        <v>782</v>
      </c>
      <c r="W30" s="20">
        <v>1</v>
      </c>
      <c r="X30" s="39">
        <v>2011</v>
      </c>
      <c r="Y30" s="39">
        <v>2011</v>
      </c>
      <c r="Z30" s="25">
        <v>40722</v>
      </c>
      <c r="AA30" s="19">
        <v>2012</v>
      </c>
      <c r="AB30" s="25">
        <v>40848</v>
      </c>
      <c r="AC30" s="19" t="s">
        <v>783</v>
      </c>
      <c r="AD30" s="19" t="s">
        <v>800</v>
      </c>
      <c r="AE30" s="21">
        <v>63</v>
      </c>
      <c r="AF30" s="19">
        <v>4</v>
      </c>
      <c r="AG30" s="19">
        <v>1</v>
      </c>
      <c r="AH30" s="19" t="s">
        <v>809</v>
      </c>
      <c r="AI30" s="19"/>
      <c r="AJ30" s="19"/>
      <c r="AK30" s="19"/>
      <c r="AL30" s="43" t="s">
        <v>96</v>
      </c>
      <c r="AM30" s="19">
        <v>3</v>
      </c>
      <c r="AN30" s="19" t="s">
        <v>1403</v>
      </c>
      <c r="AO30" s="19" t="s">
        <v>1350</v>
      </c>
      <c r="AP30" s="19">
        <v>37179</v>
      </c>
      <c r="AQ30" s="26">
        <f>IFERROR(PropInfo[[#This Row],[Yardi]]*1,PropInfo[[#This Row],[Yardi]])</f>
        <v>36</v>
      </c>
    </row>
    <row r="31" spans="1:43" x14ac:dyDescent="0.2">
      <c r="A31" s="43" t="s">
        <v>177</v>
      </c>
      <c r="B31" s="19" t="s">
        <v>1076</v>
      </c>
      <c r="C31" s="37">
        <v>239</v>
      </c>
      <c r="D31" s="37">
        <v>177684</v>
      </c>
      <c r="E31" s="19" t="s" vm="14">
        <v>1369</v>
      </c>
      <c r="F31" s="19" t="s">
        <v>1409</v>
      </c>
      <c r="G31" s="19" t="s">
        <v>781</v>
      </c>
      <c r="H31" s="19" t="s">
        <v>1076</v>
      </c>
      <c r="I31" s="19" t="s">
        <v>1077</v>
      </c>
      <c r="J31" s="19" t="s">
        <v>178</v>
      </c>
      <c r="K31" s="19" t="s">
        <v>6</v>
      </c>
      <c r="L31" s="19">
        <v>93117</v>
      </c>
      <c r="M31" s="19">
        <v>34.416744000000001</v>
      </c>
      <c r="N31" s="19">
        <v>-119.86367</v>
      </c>
      <c r="O31" s="19" t="s">
        <v>929</v>
      </c>
      <c r="P31" s="19" t="s">
        <v>1413</v>
      </c>
      <c r="Q31" s="19" t="s">
        <v>1078</v>
      </c>
      <c r="R31" s="19" t="s">
        <v>348</v>
      </c>
      <c r="S31" s="19" t="s">
        <v>348</v>
      </c>
      <c r="T31" s="19" t="s">
        <v>1079</v>
      </c>
      <c r="U31" s="19" t="s">
        <v>790</v>
      </c>
      <c r="V31" s="19" t="s">
        <v>782</v>
      </c>
      <c r="W31" s="20">
        <v>1</v>
      </c>
      <c r="X31" s="39">
        <v>1967</v>
      </c>
      <c r="Y31" s="39">
        <v>2006</v>
      </c>
      <c r="Z31" s="25">
        <v>38723</v>
      </c>
      <c r="AA31" s="19">
        <v>2007</v>
      </c>
      <c r="AB31" s="25">
        <v>38776</v>
      </c>
      <c r="AC31" s="19" t="s">
        <v>783</v>
      </c>
      <c r="AD31" s="19" t="s">
        <v>784</v>
      </c>
      <c r="AE31" s="21">
        <v>0</v>
      </c>
      <c r="AF31" s="19">
        <v>2</v>
      </c>
      <c r="AG31" s="19">
        <v>11</v>
      </c>
      <c r="AH31" s="19" t="s">
        <v>870</v>
      </c>
      <c r="AI31" s="19"/>
      <c r="AJ31" s="19"/>
      <c r="AK31" s="19"/>
      <c r="AL31" s="43" t="s">
        <v>177</v>
      </c>
      <c r="AM31" s="19">
        <v>35</v>
      </c>
      <c r="AN31" s="19" t="s">
        <v>1403</v>
      </c>
      <c r="AO31" s="19" t="s">
        <v>1355</v>
      </c>
      <c r="AP31" s="19" t="s">
        <v>1515</v>
      </c>
      <c r="AQ31" s="26">
        <f>IFERROR(PropInfo[[#This Row],[Yardi]]*1,PropInfo[[#This Row],[Yardi]])</f>
        <v>40</v>
      </c>
    </row>
    <row r="32" spans="1:43" x14ac:dyDescent="0.2">
      <c r="A32" s="43" t="s">
        <v>171</v>
      </c>
      <c r="B32" s="19" t="s">
        <v>1120</v>
      </c>
      <c r="C32" s="37">
        <v>216</v>
      </c>
      <c r="D32" s="37">
        <v>191941</v>
      </c>
      <c r="E32" s="19" t="s" vm="185">
        <v>1368</v>
      </c>
      <c r="F32" s="19" t="s">
        <v>1409</v>
      </c>
      <c r="G32" s="19" t="s">
        <v>781</v>
      </c>
      <c r="H32" s="19" t="s">
        <v>1120</v>
      </c>
      <c r="I32" s="19" t="s">
        <v>172</v>
      </c>
      <c r="J32" s="19" t="s">
        <v>173</v>
      </c>
      <c r="K32" s="19" t="s">
        <v>27</v>
      </c>
      <c r="L32" s="19">
        <v>98059</v>
      </c>
      <c r="M32" s="19">
        <v>47.539893999999997</v>
      </c>
      <c r="N32" s="19">
        <v>-122.162392</v>
      </c>
      <c r="O32" s="19" t="s">
        <v>1090</v>
      </c>
      <c r="P32" s="19" t="s">
        <v>1412</v>
      </c>
      <c r="Q32" s="19" t="s">
        <v>1091</v>
      </c>
      <c r="R32" s="19" t="s">
        <v>1092</v>
      </c>
      <c r="S32" s="19" t="s">
        <v>1093</v>
      </c>
      <c r="T32" s="19" t="s">
        <v>135</v>
      </c>
      <c r="U32" s="19" t="s">
        <v>790</v>
      </c>
      <c r="V32" s="19" t="s">
        <v>782</v>
      </c>
      <c r="W32" s="20">
        <v>1</v>
      </c>
      <c r="X32" s="39">
        <v>1998</v>
      </c>
      <c r="Y32" s="39">
        <v>1998</v>
      </c>
      <c r="Z32" s="25">
        <v>35779</v>
      </c>
      <c r="AA32" s="19">
        <v>1998</v>
      </c>
      <c r="AB32" s="25">
        <v>35826</v>
      </c>
      <c r="AC32" s="19" t="s">
        <v>783</v>
      </c>
      <c r="AD32" s="19" t="s">
        <v>784</v>
      </c>
      <c r="AE32" s="21" t="s">
        <v>1494</v>
      </c>
      <c r="AF32" s="19">
        <v>4</v>
      </c>
      <c r="AG32" s="19">
        <v>7</v>
      </c>
      <c r="AH32" s="19" t="s">
        <v>785</v>
      </c>
      <c r="AI32" s="19"/>
      <c r="AJ32" s="19"/>
      <c r="AK32" s="19"/>
      <c r="AL32" s="43" t="s">
        <v>171</v>
      </c>
      <c r="AM32" s="19">
        <v>0</v>
      </c>
      <c r="AN32" s="19" t="s">
        <v>1406</v>
      </c>
      <c r="AO32" s="19" t="s">
        <v>1353</v>
      </c>
      <c r="AP32" s="19">
        <v>2863</v>
      </c>
      <c r="AQ32" s="26">
        <f>IFERROR(PropInfo[[#This Row],[Yardi]]*1,PropInfo[[#This Row],[Yardi]])</f>
        <v>41</v>
      </c>
    </row>
    <row r="33" spans="1:43" hidden="1" x14ac:dyDescent="0.2">
      <c r="A33" s="43" t="s">
        <v>688</v>
      </c>
      <c r="B33" s="19" t="s">
        <v>1173</v>
      </c>
      <c r="C33" s="37">
        <v>4</v>
      </c>
      <c r="D33" s="37">
        <v>10138</v>
      </c>
      <c r="E33" s="19" t="s">
        <v>762</v>
      </c>
      <c r="F33" s="19" t="s">
        <v>1409</v>
      </c>
      <c r="G33" s="19" t="s">
        <v>835</v>
      </c>
      <c r="H33" s="19" t="s">
        <v>950</v>
      </c>
      <c r="I33" s="19" t="s">
        <v>951</v>
      </c>
      <c r="J33" s="19" t="s">
        <v>21</v>
      </c>
      <c r="K33" s="19" t="s">
        <v>6</v>
      </c>
      <c r="L33" s="19">
        <v>90015</v>
      </c>
      <c r="M33" s="19">
        <v>34.039600999999998</v>
      </c>
      <c r="N33" s="19">
        <v>-118.268484</v>
      </c>
      <c r="O33" s="19" t="s">
        <v>929</v>
      </c>
      <c r="P33" s="19" t="s">
        <v>1413</v>
      </c>
      <c r="Q33" s="19" t="s">
        <v>930</v>
      </c>
      <c r="R33" s="19" t="s">
        <v>21</v>
      </c>
      <c r="S33" s="19" t="s">
        <v>944</v>
      </c>
      <c r="T33" s="19" t="s">
        <v>945</v>
      </c>
      <c r="U33" s="19" t="s">
        <v>790</v>
      </c>
      <c r="V33" s="19" t="s">
        <v>782</v>
      </c>
      <c r="W33" s="20">
        <v>1</v>
      </c>
      <c r="X33" s="39">
        <v>2014</v>
      </c>
      <c r="Y33" s="39">
        <v>2015</v>
      </c>
      <c r="Z33" s="25">
        <v>42171</v>
      </c>
      <c r="AA33" s="19">
        <v>2018</v>
      </c>
      <c r="AB33" s="25">
        <v>42856</v>
      </c>
      <c r="AC33" s="19" t="s">
        <v>804</v>
      </c>
      <c r="AD33" s="19" t="s">
        <v>800</v>
      </c>
      <c r="AE33" s="21">
        <v>0</v>
      </c>
      <c r="AF33" s="19">
        <v>7</v>
      </c>
      <c r="AG33" s="19">
        <v>3</v>
      </c>
      <c r="AH33" s="19"/>
      <c r="AI33" s="19"/>
      <c r="AJ33" s="19"/>
      <c r="AK33" s="19"/>
      <c r="AL33" s="43" t="e">
        <v>#N/A</v>
      </c>
      <c r="AM33" s="19" t="e">
        <v>#N/A</v>
      </c>
      <c r="AN33" s="19" t="e">
        <v>#N/A</v>
      </c>
      <c r="AO33" s="19" t="s">
        <v>1565</v>
      </c>
      <c r="AP33" s="19">
        <v>0</v>
      </c>
      <c r="AQ33" s="26">
        <f>IFERROR(PropInfo[[#This Row],[Yardi]]*1,PropInfo[[#This Row],[Yardi]])</f>
        <v>416</v>
      </c>
    </row>
    <row r="34" spans="1:43" x14ac:dyDescent="0.2">
      <c r="A34" s="43" t="s">
        <v>46</v>
      </c>
      <c r="B34" s="19" t="s">
        <v>1441</v>
      </c>
      <c r="C34" s="37">
        <v>250</v>
      </c>
      <c r="D34" s="37">
        <v>312332</v>
      </c>
      <c r="E34" s="19" t="s" vm="12">
        <v>1368</v>
      </c>
      <c r="F34" s="19" t="s">
        <v>1409</v>
      </c>
      <c r="G34" s="19" t="s">
        <v>781</v>
      </c>
      <c r="H34" s="19" t="s">
        <v>1015</v>
      </c>
      <c r="I34" s="19" t="s">
        <v>1016</v>
      </c>
      <c r="J34" s="19" t="s">
        <v>47</v>
      </c>
      <c r="K34" s="19" t="s">
        <v>6</v>
      </c>
      <c r="L34" s="19">
        <v>92806</v>
      </c>
      <c r="M34" s="19">
        <v>33.797569000000003</v>
      </c>
      <c r="N34" s="19">
        <v>-117.889297</v>
      </c>
      <c r="O34" s="19" t="s">
        <v>929</v>
      </c>
      <c r="P34" s="19" t="s">
        <v>1415</v>
      </c>
      <c r="Q34" s="19" t="s">
        <v>1017</v>
      </c>
      <c r="R34" s="19" t="s">
        <v>510</v>
      </c>
      <c r="S34" s="19" t="s">
        <v>1018</v>
      </c>
      <c r="T34" s="19" t="s">
        <v>1019</v>
      </c>
      <c r="U34" s="19" t="s">
        <v>790</v>
      </c>
      <c r="V34" s="19" t="s">
        <v>782</v>
      </c>
      <c r="W34" s="20">
        <v>1</v>
      </c>
      <c r="X34" s="39">
        <v>2009</v>
      </c>
      <c r="Y34" s="39">
        <v>2010</v>
      </c>
      <c r="Z34" s="25">
        <v>40528</v>
      </c>
      <c r="AA34" s="19">
        <v>2012</v>
      </c>
      <c r="AB34" s="25">
        <v>40878</v>
      </c>
      <c r="AC34" s="19" t="s">
        <v>783</v>
      </c>
      <c r="AD34" s="19" t="s">
        <v>800</v>
      </c>
      <c r="AE34" s="21">
        <v>250</v>
      </c>
      <c r="AF34" s="19">
        <v>5</v>
      </c>
      <c r="AG34" s="19">
        <v>1</v>
      </c>
      <c r="AH34" s="19" t="s">
        <v>809</v>
      </c>
      <c r="AI34" s="19"/>
      <c r="AJ34" s="19"/>
      <c r="AK34" s="19"/>
      <c r="AL34" s="43" t="s">
        <v>46</v>
      </c>
      <c r="AM34" s="19">
        <v>0</v>
      </c>
      <c r="AN34" s="19" t="s">
        <v>1406</v>
      </c>
      <c r="AO34" s="19" t="s">
        <v>1529</v>
      </c>
      <c r="AP34" s="19">
        <v>42828</v>
      </c>
      <c r="AQ34" s="26">
        <f>IFERROR(PropInfo[[#This Row],[Yardi]]*1,PropInfo[[#This Row],[Yardi]])</f>
        <v>42</v>
      </c>
    </row>
    <row r="35" spans="1:43" hidden="1" x14ac:dyDescent="0.2">
      <c r="A35" s="43" t="s">
        <v>690</v>
      </c>
      <c r="B35" s="19" t="s">
        <v>1162</v>
      </c>
      <c r="C35" s="37">
        <v>3</v>
      </c>
      <c r="D35" s="37">
        <v>3588</v>
      </c>
      <c r="E35" s="19" t="s">
        <v>762</v>
      </c>
      <c r="F35" s="19" t="s">
        <v>1409</v>
      </c>
      <c r="G35" s="19" t="s">
        <v>835</v>
      </c>
      <c r="H35" s="19" t="s">
        <v>67</v>
      </c>
      <c r="I35" s="19" t="s">
        <v>68</v>
      </c>
      <c r="J35" s="19" t="s">
        <v>69</v>
      </c>
      <c r="K35" s="19" t="s">
        <v>6</v>
      </c>
      <c r="L35" s="19">
        <v>94608</v>
      </c>
      <c r="M35" s="19">
        <v>37.842706999999997</v>
      </c>
      <c r="N35" s="19">
        <v>-122.29546000000001</v>
      </c>
      <c r="O35" s="19" t="s">
        <v>786</v>
      </c>
      <c r="P35" s="19" t="s">
        <v>1414</v>
      </c>
      <c r="Q35" s="19" t="s">
        <v>853</v>
      </c>
      <c r="R35" s="19" t="s">
        <v>854</v>
      </c>
      <c r="S35" s="19" t="s">
        <v>855</v>
      </c>
      <c r="T35" s="19" t="s">
        <v>856</v>
      </c>
      <c r="U35" s="19" t="s">
        <v>820</v>
      </c>
      <c r="V35" s="19" t="s">
        <v>782</v>
      </c>
      <c r="W35" s="20">
        <v>1</v>
      </c>
      <c r="X35" s="39">
        <v>2007</v>
      </c>
      <c r="Y35" s="39">
        <v>2014</v>
      </c>
      <c r="Z35" s="25">
        <v>41730</v>
      </c>
      <c r="AA35" s="19">
        <v>2011</v>
      </c>
      <c r="AB35" s="25">
        <v>40299</v>
      </c>
      <c r="AC35" s="19" t="s">
        <v>804</v>
      </c>
      <c r="AD35" s="19" t="s">
        <v>800</v>
      </c>
      <c r="AE35" s="21">
        <v>0</v>
      </c>
      <c r="AF35" s="19">
        <v>5</v>
      </c>
      <c r="AG35" s="19">
        <v>1</v>
      </c>
      <c r="AH35" s="19" t="s">
        <v>792</v>
      </c>
      <c r="AI35" s="19"/>
      <c r="AJ35" s="19"/>
      <c r="AK35" s="19"/>
      <c r="AL35" s="43" t="e">
        <v>#N/A</v>
      </c>
      <c r="AM35" s="19" t="e">
        <v>#N/A</v>
      </c>
      <c r="AN35" s="19" t="e">
        <v>#N/A</v>
      </c>
      <c r="AO35" s="19" t="s">
        <v>1565</v>
      </c>
      <c r="AP35" s="19">
        <v>0</v>
      </c>
      <c r="AQ35" s="26" t="str">
        <f>IFERROR(PropInfo[[#This Row],[Yardi]]*1,PropInfo[[#This Row],[Yardi]])</f>
        <v>sfo2244</v>
      </c>
    </row>
    <row r="36" spans="1:43" x14ac:dyDescent="0.2">
      <c r="A36" s="43" t="s">
        <v>154</v>
      </c>
      <c r="B36" s="19" t="s">
        <v>155</v>
      </c>
      <c r="C36" s="37">
        <v>250</v>
      </c>
      <c r="D36" s="37">
        <v>210452</v>
      </c>
      <c r="E36" s="19" t="s" vm="22">
        <v>1368</v>
      </c>
      <c r="F36" s="19" t="s">
        <v>1409</v>
      </c>
      <c r="G36" s="19" t="s">
        <v>781</v>
      </c>
      <c r="H36" s="19" t="s">
        <v>155</v>
      </c>
      <c r="I36" s="19" t="s">
        <v>156</v>
      </c>
      <c r="J36" s="19" t="s">
        <v>117</v>
      </c>
      <c r="K36" s="19" t="s">
        <v>27</v>
      </c>
      <c r="L36" s="19">
        <v>98021</v>
      </c>
      <c r="M36" s="19">
        <v>47.791302000000002</v>
      </c>
      <c r="N36" s="19">
        <v>-122.211853</v>
      </c>
      <c r="O36" s="19" t="s">
        <v>1090</v>
      </c>
      <c r="P36" s="19" t="s">
        <v>1412</v>
      </c>
      <c r="Q36" s="19" t="s">
        <v>1091</v>
      </c>
      <c r="R36" s="19" t="s">
        <v>1147</v>
      </c>
      <c r="S36" s="19" t="s">
        <v>1107</v>
      </c>
      <c r="T36" s="19" t="s">
        <v>1108</v>
      </c>
      <c r="U36" s="19" t="s">
        <v>790</v>
      </c>
      <c r="V36" s="19" t="s">
        <v>782</v>
      </c>
      <c r="W36" s="20">
        <v>1</v>
      </c>
      <c r="X36" s="39">
        <v>1990</v>
      </c>
      <c r="Y36" s="39">
        <v>2003</v>
      </c>
      <c r="Z36" s="25">
        <v>37903</v>
      </c>
      <c r="AA36" s="19">
        <v>2004</v>
      </c>
      <c r="AB36" s="25">
        <v>37955</v>
      </c>
      <c r="AC36" s="19" t="s">
        <v>783</v>
      </c>
      <c r="AD36" s="19" t="s">
        <v>784</v>
      </c>
      <c r="AE36" s="21" t="s">
        <v>1494</v>
      </c>
      <c r="AF36" s="19">
        <v>3</v>
      </c>
      <c r="AG36" s="19">
        <v>13</v>
      </c>
      <c r="AH36" s="19" t="s">
        <v>785</v>
      </c>
      <c r="AI36" s="19"/>
      <c r="AJ36" s="19"/>
      <c r="AK36" s="19"/>
      <c r="AL36" s="43" t="s">
        <v>154</v>
      </c>
      <c r="AM36" s="19">
        <v>0</v>
      </c>
      <c r="AN36" s="19" t="s">
        <v>1406</v>
      </c>
      <c r="AO36" s="19" t="s">
        <v>1357</v>
      </c>
      <c r="AP36" s="19">
        <v>3180</v>
      </c>
      <c r="AQ36" s="26">
        <f>IFERROR(PropInfo[[#This Row],[Yardi]]*1,PropInfo[[#This Row],[Yardi]])</f>
        <v>50</v>
      </c>
    </row>
    <row r="37" spans="1:43" x14ac:dyDescent="0.2">
      <c r="A37" s="43" t="s">
        <v>144</v>
      </c>
      <c r="B37" s="19" t="s">
        <v>994</v>
      </c>
      <c r="C37" s="37">
        <v>564</v>
      </c>
      <c r="D37" s="37">
        <v>458728</v>
      </c>
      <c r="E37" s="19" t="s" vm="15">
        <v>1368</v>
      </c>
      <c r="F37" s="19" t="s">
        <v>1409</v>
      </c>
      <c r="G37" s="19" t="s">
        <v>781</v>
      </c>
      <c r="H37" s="19" t="s">
        <v>994</v>
      </c>
      <c r="I37" s="19" t="s">
        <v>145</v>
      </c>
      <c r="J37" s="19" t="s">
        <v>146</v>
      </c>
      <c r="K37" s="19" t="s">
        <v>6</v>
      </c>
      <c r="L37" s="19">
        <v>93010</v>
      </c>
      <c r="M37" s="19">
        <v>34.221504000000003</v>
      </c>
      <c r="N37" s="19">
        <v>-119.056862</v>
      </c>
      <c r="O37" s="19" t="s">
        <v>929</v>
      </c>
      <c r="P37" s="19" t="s">
        <v>1413</v>
      </c>
      <c r="Q37" s="19" t="s">
        <v>995</v>
      </c>
      <c r="R37" s="19" t="s">
        <v>375</v>
      </c>
      <c r="S37" s="19" t="s">
        <v>375</v>
      </c>
      <c r="T37" s="19" t="s">
        <v>146</v>
      </c>
      <c r="U37" s="19" t="s">
        <v>790</v>
      </c>
      <c r="V37" s="19" t="s">
        <v>782</v>
      </c>
      <c r="W37" s="20">
        <v>1</v>
      </c>
      <c r="X37" s="39">
        <v>1985</v>
      </c>
      <c r="Y37" s="39">
        <v>1996</v>
      </c>
      <c r="Z37" s="25">
        <v>35648</v>
      </c>
      <c r="AA37" s="19">
        <v>1998</v>
      </c>
      <c r="AB37" s="25">
        <v>35703</v>
      </c>
      <c r="AC37" s="19" t="s">
        <v>783</v>
      </c>
      <c r="AD37" s="19" t="s">
        <v>784</v>
      </c>
      <c r="AE37" s="21">
        <v>0</v>
      </c>
      <c r="AF37" s="19">
        <v>2</v>
      </c>
      <c r="AG37" s="19">
        <v>60</v>
      </c>
      <c r="AH37" s="19" t="s">
        <v>785</v>
      </c>
      <c r="AI37" s="19"/>
      <c r="AJ37" s="19"/>
      <c r="AK37" s="19"/>
      <c r="AL37" s="43" t="s">
        <v>144</v>
      </c>
      <c r="AM37" s="19">
        <v>0</v>
      </c>
      <c r="AN37" s="19" t="s">
        <v>1406</v>
      </c>
      <c r="AO37" s="19" t="s">
        <v>1355</v>
      </c>
      <c r="AP37" s="19" t="s">
        <v>1514</v>
      </c>
      <c r="AQ37" s="26">
        <f>IFERROR(PropInfo[[#This Row],[Yardi]]*1,PropInfo[[#This Row],[Yardi]])</f>
        <v>51</v>
      </c>
    </row>
    <row r="38" spans="1:43" hidden="1" x14ac:dyDescent="0.2">
      <c r="A38" s="43" t="s">
        <v>1201</v>
      </c>
      <c r="B38" s="19" t="s">
        <v>1202</v>
      </c>
      <c r="C38" s="37">
        <v>4</v>
      </c>
      <c r="D38" s="37">
        <v>9845</v>
      </c>
      <c r="E38" s="19" t="s">
        <v>762</v>
      </c>
      <c r="F38" s="19" t="s">
        <v>1409</v>
      </c>
      <c r="G38" s="19" t="s">
        <v>835</v>
      </c>
      <c r="H38" s="19" t="s">
        <v>73</v>
      </c>
      <c r="I38" s="19" t="s">
        <v>74</v>
      </c>
      <c r="J38" s="19" t="s">
        <v>75</v>
      </c>
      <c r="K38" s="19" t="s">
        <v>27</v>
      </c>
      <c r="L38" s="19">
        <v>98040</v>
      </c>
      <c r="M38" s="19">
        <v>47.588845999999997</v>
      </c>
      <c r="N38" s="19">
        <v>-122.237825</v>
      </c>
      <c r="O38" s="19" t="s">
        <v>1090</v>
      </c>
      <c r="P38" s="19" t="s">
        <v>1412</v>
      </c>
      <c r="Q38" s="19" t="s">
        <v>1091</v>
      </c>
      <c r="R38" s="19" t="s">
        <v>1092</v>
      </c>
      <c r="S38" s="19" t="s">
        <v>1093</v>
      </c>
      <c r="T38" s="19" t="s">
        <v>1094</v>
      </c>
      <c r="U38" s="19" t="s">
        <v>820</v>
      </c>
      <c r="V38" s="19" t="s">
        <v>782</v>
      </c>
      <c r="W38" s="20">
        <v>1</v>
      </c>
      <c r="X38" s="39">
        <v>2013</v>
      </c>
      <c r="Y38" s="39">
        <v>2014</v>
      </c>
      <c r="Z38" s="25">
        <v>41730</v>
      </c>
      <c r="AA38" s="19">
        <v>2015</v>
      </c>
      <c r="AB38" s="25">
        <v>41883</v>
      </c>
      <c r="AC38" s="19" t="s">
        <v>804</v>
      </c>
      <c r="AD38" s="19" t="s">
        <v>800</v>
      </c>
      <c r="AE38" s="21">
        <v>0</v>
      </c>
      <c r="AF38" s="19">
        <v>6</v>
      </c>
      <c r="AG38" s="19">
        <v>1</v>
      </c>
      <c r="AH38" s="19" t="s">
        <v>792</v>
      </c>
      <c r="AI38" s="19"/>
      <c r="AJ38" s="19"/>
      <c r="AK38" s="19"/>
      <c r="AL38" s="43" t="e">
        <v>#N/A</v>
      </c>
      <c r="AM38" s="19" t="e">
        <v>#N/A</v>
      </c>
      <c r="AN38" s="19" t="e">
        <v>#N/A</v>
      </c>
      <c r="AO38" s="19" t="s">
        <v>1565</v>
      </c>
      <c r="AP38" s="19">
        <v>0</v>
      </c>
      <c r="AQ38" s="26" t="str">
        <f>IFERROR(PropInfo[[#This Row],[Yardi]]*1,PropInfo[[#This Row],[Yardi]])</f>
        <v>pnw2260</v>
      </c>
    </row>
    <row r="39" spans="1:43" x14ac:dyDescent="0.2">
      <c r="A39" s="43" t="s">
        <v>465</v>
      </c>
      <c r="B39" s="19" t="s">
        <v>466</v>
      </c>
      <c r="C39" s="37">
        <v>396</v>
      </c>
      <c r="D39" s="37">
        <v>348955</v>
      </c>
      <c r="E39" s="19" t="s" vm="188">
        <v>1368</v>
      </c>
      <c r="F39" s="19" t="s">
        <v>1409</v>
      </c>
      <c r="G39" s="19" t="s">
        <v>781</v>
      </c>
      <c r="H39" s="19" t="s">
        <v>466</v>
      </c>
      <c r="I39" s="19" t="s">
        <v>467</v>
      </c>
      <c r="J39" s="19" t="s">
        <v>91</v>
      </c>
      <c r="K39" s="19" t="s">
        <v>27</v>
      </c>
      <c r="L39" s="19">
        <v>98007</v>
      </c>
      <c r="M39" s="19">
        <v>47.621676999999998</v>
      </c>
      <c r="N39" s="19">
        <v>-122.135643</v>
      </c>
      <c r="O39" s="19" t="s">
        <v>1090</v>
      </c>
      <c r="P39" s="19" t="s">
        <v>1412</v>
      </c>
      <c r="Q39" s="19" t="s">
        <v>1091</v>
      </c>
      <c r="R39" s="19" t="s">
        <v>1092</v>
      </c>
      <c r="S39" s="19" t="s">
        <v>1093</v>
      </c>
      <c r="T39" s="19" t="s">
        <v>1100</v>
      </c>
      <c r="U39" s="19" t="s">
        <v>790</v>
      </c>
      <c r="V39" s="19" t="s">
        <v>782</v>
      </c>
      <c r="W39" s="20">
        <v>1</v>
      </c>
      <c r="X39" s="39">
        <v>1969</v>
      </c>
      <c r="Y39" s="39">
        <v>2014</v>
      </c>
      <c r="Z39" s="25">
        <v>41761</v>
      </c>
      <c r="AA39" s="19">
        <v>2017</v>
      </c>
      <c r="AB39" s="25">
        <v>42644</v>
      </c>
      <c r="AC39" s="19" t="s">
        <v>783</v>
      </c>
      <c r="AD39" s="19" t="s">
        <v>784</v>
      </c>
      <c r="AE39" s="21" t="s">
        <v>1494</v>
      </c>
      <c r="AF39" s="19">
        <v>2</v>
      </c>
      <c r="AG39" s="19">
        <v>36</v>
      </c>
      <c r="AH39" s="19" t="s">
        <v>785</v>
      </c>
      <c r="AI39" s="19"/>
      <c r="AJ39" s="19"/>
      <c r="AK39" s="19"/>
      <c r="AL39" s="43" t="s">
        <v>465</v>
      </c>
      <c r="AM39" s="19">
        <v>0</v>
      </c>
      <c r="AN39" s="19" t="s">
        <v>1406</v>
      </c>
      <c r="AO39" s="19" t="s">
        <v>1348</v>
      </c>
      <c r="AP39" s="19">
        <v>19571</v>
      </c>
      <c r="AQ39" s="26">
        <f>IFERROR(PropInfo[[#This Row],[Yardi]]*1,PropInfo[[#This Row],[Yardi]])</f>
        <v>55</v>
      </c>
    </row>
    <row r="40" spans="1:43" x14ac:dyDescent="0.2">
      <c r="A40" s="43" t="s">
        <v>210</v>
      </c>
      <c r="B40" s="19" t="s">
        <v>211</v>
      </c>
      <c r="C40" s="37">
        <v>180</v>
      </c>
      <c r="D40" s="37">
        <v>179764</v>
      </c>
      <c r="E40" s="19" t="s" vm="18">
        <v>1368</v>
      </c>
      <c r="F40" s="19" t="s">
        <v>1409</v>
      </c>
      <c r="G40" s="19" t="s">
        <v>781</v>
      </c>
      <c r="H40" s="19" t="s">
        <v>211</v>
      </c>
      <c r="I40" s="19" t="s">
        <v>212</v>
      </c>
      <c r="J40" s="19" t="s">
        <v>213</v>
      </c>
      <c r="K40" s="19" t="s">
        <v>6</v>
      </c>
      <c r="L40" s="19">
        <v>92058</v>
      </c>
      <c r="M40" s="19">
        <v>33.233348999999997</v>
      </c>
      <c r="N40" s="19">
        <v>-117.324669</v>
      </c>
      <c r="O40" s="19" t="s">
        <v>929</v>
      </c>
      <c r="P40" s="19" t="s">
        <v>1415</v>
      </c>
      <c r="Q40" s="19" t="s">
        <v>1052</v>
      </c>
      <c r="R40" s="19" t="s">
        <v>39</v>
      </c>
      <c r="S40" s="19" t="s">
        <v>1056</v>
      </c>
      <c r="T40" s="19" t="s">
        <v>213</v>
      </c>
      <c r="U40" s="19" t="s">
        <v>820</v>
      </c>
      <c r="V40" s="19" t="s">
        <v>782</v>
      </c>
      <c r="W40" s="20">
        <v>1</v>
      </c>
      <c r="X40" s="39">
        <v>1976</v>
      </c>
      <c r="Y40" s="39">
        <v>2002</v>
      </c>
      <c r="Z40" s="25">
        <v>37607</v>
      </c>
      <c r="AA40" s="19">
        <v>2004</v>
      </c>
      <c r="AB40" s="25">
        <v>37652</v>
      </c>
      <c r="AC40" s="19" t="s">
        <v>783</v>
      </c>
      <c r="AD40" s="19" t="s">
        <v>784</v>
      </c>
      <c r="AE40" s="21">
        <v>180</v>
      </c>
      <c r="AF40" s="19">
        <v>2</v>
      </c>
      <c r="AG40" s="19">
        <v>11</v>
      </c>
      <c r="AH40" s="19" t="s">
        <v>809</v>
      </c>
      <c r="AI40" s="19"/>
      <c r="AJ40" s="19"/>
      <c r="AK40" s="19"/>
      <c r="AL40" s="43" t="s">
        <v>210</v>
      </c>
      <c r="AM40" s="19">
        <v>16</v>
      </c>
      <c r="AN40" s="19" t="s">
        <v>1403</v>
      </c>
      <c r="AO40" s="19" t="s">
        <v>1361</v>
      </c>
      <c r="AP40" s="19">
        <v>9514</v>
      </c>
      <c r="AQ40" s="26">
        <f>IFERROR(PropInfo[[#This Row],[Yardi]]*1,PropInfo[[#This Row],[Yardi]])</f>
        <v>56</v>
      </c>
    </row>
    <row r="41" spans="1:43" x14ac:dyDescent="0.2">
      <c r="A41" s="43" t="s">
        <v>234</v>
      </c>
      <c r="B41" s="19" t="s">
        <v>1086</v>
      </c>
      <c r="C41" s="37">
        <v>276</v>
      </c>
      <c r="D41" s="37">
        <v>207220</v>
      </c>
      <c r="E41" s="19" t="s">
        <v>1369</v>
      </c>
      <c r="F41" s="19" t="s">
        <v>1409</v>
      </c>
      <c r="G41" s="19" t="s">
        <v>781</v>
      </c>
      <c r="H41" s="19" t="s">
        <v>1086</v>
      </c>
      <c r="I41" s="19" t="s">
        <v>1087</v>
      </c>
      <c r="J41" s="19" t="s">
        <v>235</v>
      </c>
      <c r="K41" s="19" t="s">
        <v>6</v>
      </c>
      <c r="L41" s="19">
        <v>92545</v>
      </c>
      <c r="M41" s="19">
        <v>33.751044999999998</v>
      </c>
      <c r="N41" s="19">
        <v>-117.000023</v>
      </c>
      <c r="O41" s="19" t="s">
        <v>929</v>
      </c>
      <c r="P41" s="19" t="s">
        <v>1415</v>
      </c>
      <c r="Q41" s="19" t="s">
        <v>1081</v>
      </c>
      <c r="R41" s="19" t="s">
        <v>1088</v>
      </c>
      <c r="S41" s="19" t="s">
        <v>1083</v>
      </c>
      <c r="T41" s="19" t="s">
        <v>1089</v>
      </c>
      <c r="U41" s="19" t="s">
        <v>820</v>
      </c>
      <c r="V41" s="19" t="s">
        <v>782</v>
      </c>
      <c r="W41" s="20">
        <v>1</v>
      </c>
      <c r="X41" s="39">
        <v>1988</v>
      </c>
      <c r="Y41" s="39">
        <v>2002</v>
      </c>
      <c r="Z41" s="25">
        <v>37607</v>
      </c>
      <c r="AA41" s="19">
        <v>2004</v>
      </c>
      <c r="AB41" s="25">
        <v>37652</v>
      </c>
      <c r="AC41" s="19" t="s">
        <v>783</v>
      </c>
      <c r="AD41" s="19" t="s">
        <v>784</v>
      </c>
      <c r="AE41" s="21">
        <v>0</v>
      </c>
      <c r="AF41" s="19">
        <v>2</v>
      </c>
      <c r="AG41" s="19">
        <v>15</v>
      </c>
      <c r="AH41" s="19" t="s">
        <v>870</v>
      </c>
      <c r="AI41" s="19"/>
      <c r="AJ41" s="19"/>
      <c r="AK41" s="19"/>
      <c r="AL41" s="43" t="s">
        <v>234</v>
      </c>
      <c r="AM41" s="19">
        <v>0</v>
      </c>
      <c r="AN41" s="19" t="s">
        <v>1406</v>
      </c>
      <c r="AO41" s="19" t="s">
        <v>1359</v>
      </c>
      <c r="AP41" s="19">
        <v>13177</v>
      </c>
      <c r="AQ41" s="26">
        <f>IFERROR(PropInfo[[#This Row],[Yardi]]*1,PropInfo[[#This Row],[Yardi]])</f>
        <v>58</v>
      </c>
    </row>
    <row r="42" spans="1:43" x14ac:dyDescent="0.2">
      <c r="A42" s="43" t="s">
        <v>446</v>
      </c>
      <c r="B42" s="19" t="s">
        <v>447</v>
      </c>
      <c r="C42" s="37">
        <v>90</v>
      </c>
      <c r="D42" s="37">
        <v>72864</v>
      </c>
      <c r="E42" s="19" t="s" vm="83">
        <v>1368</v>
      </c>
      <c r="F42" s="19" t="s">
        <v>1409</v>
      </c>
      <c r="G42" s="19" t="s">
        <v>781</v>
      </c>
      <c r="H42" s="19" t="s">
        <v>447</v>
      </c>
      <c r="I42" s="19" t="s">
        <v>965</v>
      </c>
      <c r="J42" s="19" t="s">
        <v>21</v>
      </c>
      <c r="K42" s="19" t="s">
        <v>6</v>
      </c>
      <c r="L42" s="19">
        <v>90005</v>
      </c>
      <c r="M42" s="19">
        <v>34.060181</v>
      </c>
      <c r="N42" s="19">
        <v>-118.295044</v>
      </c>
      <c r="O42" s="19" t="s">
        <v>929</v>
      </c>
      <c r="P42" s="19" t="s">
        <v>1413</v>
      </c>
      <c r="Q42" s="19" t="s">
        <v>930</v>
      </c>
      <c r="R42" s="19" t="s">
        <v>21</v>
      </c>
      <c r="S42" s="19" t="s">
        <v>956</v>
      </c>
      <c r="T42" s="19" t="s">
        <v>960</v>
      </c>
      <c r="U42" s="19" t="s">
        <v>790</v>
      </c>
      <c r="V42" s="19" t="s">
        <v>782</v>
      </c>
      <c r="W42" s="20">
        <v>1</v>
      </c>
      <c r="X42" s="39">
        <v>2002</v>
      </c>
      <c r="Y42" s="39">
        <v>2012</v>
      </c>
      <c r="Z42" s="25">
        <v>41079</v>
      </c>
      <c r="AA42" s="19">
        <v>2013</v>
      </c>
      <c r="AB42" s="25">
        <v>41122</v>
      </c>
      <c r="AC42" s="19" t="s">
        <v>783</v>
      </c>
      <c r="AD42" s="19" t="s">
        <v>800</v>
      </c>
      <c r="AE42" s="21">
        <v>0</v>
      </c>
      <c r="AF42" s="19">
        <v>5</v>
      </c>
      <c r="AG42" s="19">
        <v>1</v>
      </c>
      <c r="AH42" s="19" t="s">
        <v>792</v>
      </c>
      <c r="AI42" s="19"/>
      <c r="AJ42" s="19"/>
      <c r="AK42" s="19"/>
      <c r="AL42" s="43" t="s">
        <v>446</v>
      </c>
      <c r="AM42" s="19">
        <v>9</v>
      </c>
      <c r="AN42" s="19" t="s">
        <v>1403</v>
      </c>
      <c r="AO42" s="19" t="s">
        <v>1528</v>
      </c>
      <c r="AP42" s="19">
        <v>38536</v>
      </c>
      <c r="AQ42" s="26">
        <f>IFERROR(PropInfo[[#This Row],[Yardi]]*1,PropInfo[[#This Row],[Yardi]])</f>
        <v>61</v>
      </c>
    </row>
    <row r="43" spans="1:43" x14ac:dyDescent="0.2">
      <c r="A43" s="43" t="s">
        <v>268</v>
      </c>
      <c r="B43" s="19" t="s">
        <v>269</v>
      </c>
      <c r="C43" s="37">
        <v>200</v>
      </c>
      <c r="D43" s="37">
        <v>188330</v>
      </c>
      <c r="E43" s="19" t="s" vm="186">
        <v>1368</v>
      </c>
      <c r="F43" s="19" t="s">
        <v>1409</v>
      </c>
      <c r="G43" s="19" t="s">
        <v>781</v>
      </c>
      <c r="H43" s="19" t="s">
        <v>269</v>
      </c>
      <c r="I43" s="19" t="s">
        <v>270</v>
      </c>
      <c r="J43" s="19" t="s">
        <v>61</v>
      </c>
      <c r="K43" s="19" t="s">
        <v>27</v>
      </c>
      <c r="L43" s="19">
        <v>98034</v>
      </c>
      <c r="M43" s="19">
        <v>47.717613</v>
      </c>
      <c r="N43" s="19">
        <v>-122.176834</v>
      </c>
      <c r="O43" s="19" t="s">
        <v>1090</v>
      </c>
      <c r="P43" s="19" t="s">
        <v>1412</v>
      </c>
      <c r="Q43" s="19" t="s">
        <v>1091</v>
      </c>
      <c r="R43" s="19" t="s">
        <v>1092</v>
      </c>
      <c r="S43" s="19" t="s">
        <v>1093</v>
      </c>
      <c r="T43" s="19" t="s">
        <v>1108</v>
      </c>
      <c r="U43" s="19" t="s">
        <v>790</v>
      </c>
      <c r="V43" s="19" t="s">
        <v>782</v>
      </c>
      <c r="W43" s="20">
        <v>1</v>
      </c>
      <c r="X43" s="39">
        <v>1990</v>
      </c>
      <c r="Y43" s="39">
        <v>1997</v>
      </c>
      <c r="Z43" s="25">
        <v>35604</v>
      </c>
      <c r="AA43" s="19">
        <v>1998</v>
      </c>
      <c r="AB43" s="25">
        <v>35642</v>
      </c>
      <c r="AC43" s="19" t="s">
        <v>783</v>
      </c>
      <c r="AD43" s="19" t="s">
        <v>784</v>
      </c>
      <c r="AE43" s="21" t="s">
        <v>1494</v>
      </c>
      <c r="AF43" s="19">
        <v>3</v>
      </c>
      <c r="AG43" s="19">
        <v>16</v>
      </c>
      <c r="AH43" s="19" t="s">
        <v>785</v>
      </c>
      <c r="AI43" s="19"/>
      <c r="AJ43" s="19"/>
      <c r="AK43" s="19"/>
      <c r="AL43" s="43" t="s">
        <v>268</v>
      </c>
      <c r="AM43" s="19">
        <v>0</v>
      </c>
      <c r="AN43" s="19" t="s">
        <v>1406</v>
      </c>
      <c r="AO43" s="19" t="s">
        <v>1349</v>
      </c>
      <c r="AP43" s="19">
        <v>1155</v>
      </c>
      <c r="AQ43" s="26">
        <f>IFERROR(PropInfo[[#This Row],[Yardi]]*1,PropInfo[[#This Row],[Yardi]])</f>
        <v>63</v>
      </c>
    </row>
    <row r="44" spans="1:43" hidden="1" x14ac:dyDescent="0.2">
      <c r="A44" s="43" t="s">
        <v>1193</v>
      </c>
      <c r="B44" s="19" t="s">
        <v>1194</v>
      </c>
      <c r="C44" s="37">
        <v>4</v>
      </c>
      <c r="D44" s="37">
        <v>12893</v>
      </c>
      <c r="E44" s="19" t="s">
        <v>762</v>
      </c>
      <c r="F44" s="19" t="s">
        <v>1409</v>
      </c>
      <c r="G44" s="19" t="s">
        <v>835</v>
      </c>
      <c r="H44" s="19" t="s">
        <v>89</v>
      </c>
      <c r="I44" s="19" t="s">
        <v>90</v>
      </c>
      <c r="J44" s="19" t="s">
        <v>91</v>
      </c>
      <c r="K44" s="19" t="s">
        <v>27</v>
      </c>
      <c r="L44" s="19">
        <v>98004</v>
      </c>
      <c r="M44" s="19">
        <v>47.619746999999997</v>
      </c>
      <c r="N44" s="19">
        <v>-122.19824</v>
      </c>
      <c r="O44" s="19" t="s">
        <v>1090</v>
      </c>
      <c r="P44" s="19" t="s">
        <v>1412</v>
      </c>
      <c r="Q44" s="19" t="s">
        <v>1091</v>
      </c>
      <c r="R44" s="19" t="s">
        <v>1092</v>
      </c>
      <c r="S44" s="19" t="s">
        <v>1093</v>
      </c>
      <c r="T44" s="19" t="s">
        <v>1094</v>
      </c>
      <c r="U44" s="19" t="s">
        <v>820</v>
      </c>
      <c r="V44" s="19" t="s">
        <v>782</v>
      </c>
      <c r="W44" s="20">
        <v>1</v>
      </c>
      <c r="X44" s="39">
        <v>2009</v>
      </c>
      <c r="Y44" s="39">
        <v>2014</v>
      </c>
      <c r="Z44" s="25">
        <v>41730</v>
      </c>
      <c r="AA44" s="19">
        <v>2011</v>
      </c>
      <c r="AB44" s="25">
        <v>40422</v>
      </c>
      <c r="AC44" s="19" t="s">
        <v>804</v>
      </c>
      <c r="AD44" s="19" t="s">
        <v>800</v>
      </c>
      <c r="AE44" s="21">
        <v>0</v>
      </c>
      <c r="AF44" s="19">
        <v>6</v>
      </c>
      <c r="AG44" s="19">
        <v>1</v>
      </c>
      <c r="AH44" s="19" t="s">
        <v>792</v>
      </c>
      <c r="AI44" s="19"/>
      <c r="AJ44" s="19"/>
      <c r="AK44" s="19"/>
      <c r="AL44" s="43" t="e">
        <v>#N/A</v>
      </c>
      <c r="AM44" s="19" t="e">
        <v>#N/A</v>
      </c>
      <c r="AN44" s="19" t="e">
        <v>#N/A</v>
      </c>
      <c r="AO44" s="19" t="s">
        <v>1565</v>
      </c>
      <c r="AP44" s="19">
        <v>0</v>
      </c>
      <c r="AQ44" s="26" t="str">
        <f>IFERROR(PropInfo[[#This Row],[Yardi]]*1,PropInfo[[#This Row],[Yardi]])</f>
        <v>pnw2246</v>
      </c>
    </row>
    <row r="45" spans="1:43" x14ac:dyDescent="0.2">
      <c r="A45" s="43" t="s">
        <v>248</v>
      </c>
      <c r="B45" s="19" t="s">
        <v>249</v>
      </c>
      <c r="C45" s="37">
        <v>180</v>
      </c>
      <c r="D45" s="37">
        <v>147060</v>
      </c>
      <c r="E45" s="19" t="s" vm="26">
        <v>1368</v>
      </c>
      <c r="F45" s="19" t="s">
        <v>1409</v>
      </c>
      <c r="G45" s="19" t="s">
        <v>781</v>
      </c>
      <c r="H45" s="19" t="s">
        <v>249</v>
      </c>
      <c r="I45" s="19" t="s">
        <v>1099</v>
      </c>
      <c r="J45" s="19" t="s">
        <v>91</v>
      </c>
      <c r="K45" s="19" t="s">
        <v>27</v>
      </c>
      <c r="L45" s="19">
        <v>98005</v>
      </c>
      <c r="M45" s="19">
        <v>47.583236999999997</v>
      </c>
      <c r="N45" s="19">
        <v>-122.180145</v>
      </c>
      <c r="O45" s="19" t="s">
        <v>1090</v>
      </c>
      <c r="P45" s="19" t="s">
        <v>1412</v>
      </c>
      <c r="Q45" s="19" t="s">
        <v>1091</v>
      </c>
      <c r="R45" s="19" t="s">
        <v>1092</v>
      </c>
      <c r="S45" s="19" t="s">
        <v>1093</v>
      </c>
      <c r="T45" s="19" t="s">
        <v>1100</v>
      </c>
      <c r="U45" s="19" t="s">
        <v>790</v>
      </c>
      <c r="V45" s="19" t="s">
        <v>782</v>
      </c>
      <c r="W45" s="20">
        <v>1</v>
      </c>
      <c r="X45" s="39">
        <v>1987</v>
      </c>
      <c r="Y45" s="39">
        <v>1994</v>
      </c>
      <c r="Z45" s="25">
        <v>34659</v>
      </c>
      <c r="AA45" s="19">
        <v>1995</v>
      </c>
      <c r="AB45" s="25">
        <v>34699</v>
      </c>
      <c r="AC45" s="19" t="s">
        <v>783</v>
      </c>
      <c r="AD45" s="19" t="s">
        <v>784</v>
      </c>
      <c r="AE45" s="21" t="s">
        <v>1494</v>
      </c>
      <c r="AF45" s="19">
        <v>3</v>
      </c>
      <c r="AG45" s="19">
        <v>15</v>
      </c>
      <c r="AH45" s="19" t="s">
        <v>785</v>
      </c>
      <c r="AI45" s="19"/>
      <c r="AJ45" s="19"/>
      <c r="AK45" s="19"/>
      <c r="AL45" s="43" t="s">
        <v>248</v>
      </c>
      <c r="AM45" s="19">
        <v>0</v>
      </c>
      <c r="AN45" s="19" t="s">
        <v>1406</v>
      </c>
      <c r="AO45" s="19" t="s">
        <v>1353</v>
      </c>
      <c r="AP45" s="19">
        <v>1154</v>
      </c>
      <c r="AQ45" s="26">
        <f>IFERROR(PropInfo[[#This Row],[Yardi]]*1,PropInfo[[#This Row],[Yardi]])</f>
        <v>66</v>
      </c>
    </row>
    <row r="46" spans="1:43" x14ac:dyDescent="0.2">
      <c r="A46" s="43" t="s">
        <v>278</v>
      </c>
      <c r="B46" s="19" t="s">
        <v>1046</v>
      </c>
      <c r="C46" s="37">
        <v>74</v>
      </c>
      <c r="D46" s="37">
        <v>107160</v>
      </c>
      <c r="E46" s="19" t="s" vm="24">
        <v>1368</v>
      </c>
      <c r="F46" s="19" t="s">
        <v>1409</v>
      </c>
      <c r="G46" s="19" t="s">
        <v>781</v>
      </c>
      <c r="H46" s="19" t="s">
        <v>1046</v>
      </c>
      <c r="I46" s="19" t="s">
        <v>279</v>
      </c>
      <c r="J46" s="19" t="s">
        <v>280</v>
      </c>
      <c r="K46" s="19" t="s">
        <v>6</v>
      </c>
      <c r="L46" s="19">
        <v>92660</v>
      </c>
      <c r="M46" s="19">
        <v>33.617355000000003</v>
      </c>
      <c r="N46" s="19">
        <v>-117.868523</v>
      </c>
      <c r="O46" s="19" t="s">
        <v>929</v>
      </c>
      <c r="P46" s="19" t="s">
        <v>1415</v>
      </c>
      <c r="Q46" s="19" t="s">
        <v>1017</v>
      </c>
      <c r="R46" s="19" t="s">
        <v>510</v>
      </c>
      <c r="S46" s="19" t="s">
        <v>1024</v>
      </c>
      <c r="T46" s="19" t="s">
        <v>280</v>
      </c>
      <c r="U46" s="19" t="s">
        <v>790</v>
      </c>
      <c r="V46" s="19" t="s">
        <v>782</v>
      </c>
      <c r="W46" s="20">
        <v>1</v>
      </c>
      <c r="X46" s="39">
        <v>1972</v>
      </c>
      <c r="Y46" s="39">
        <v>1999</v>
      </c>
      <c r="Z46" s="25">
        <v>36315</v>
      </c>
      <c r="AA46" s="19">
        <v>2000</v>
      </c>
      <c r="AB46" s="25">
        <v>36372</v>
      </c>
      <c r="AC46" s="19" t="s">
        <v>783</v>
      </c>
      <c r="AD46" s="19" t="s">
        <v>784</v>
      </c>
      <c r="AE46" s="21">
        <v>0</v>
      </c>
      <c r="AF46" s="19">
        <v>2</v>
      </c>
      <c r="AG46" s="19">
        <v>5</v>
      </c>
      <c r="AH46" s="19" t="s">
        <v>792</v>
      </c>
      <c r="AI46" s="19"/>
      <c r="AJ46" s="19"/>
      <c r="AK46" s="19"/>
      <c r="AL46" s="43" t="s">
        <v>278</v>
      </c>
      <c r="AM46" s="19">
        <v>0</v>
      </c>
      <c r="AN46" s="19" t="s">
        <v>1406</v>
      </c>
      <c r="AO46" s="19" t="s">
        <v>1361</v>
      </c>
      <c r="AP46" s="19">
        <v>0</v>
      </c>
      <c r="AQ46" s="26">
        <f>IFERROR(PropInfo[[#This Row],[Yardi]]*1,PropInfo[[#This Row],[Yardi]])</f>
        <v>68</v>
      </c>
    </row>
    <row r="47" spans="1:43" hidden="1" x14ac:dyDescent="0.2">
      <c r="A47" s="43" t="s">
        <v>1195</v>
      </c>
      <c r="B47" s="19" t="s">
        <v>1196</v>
      </c>
      <c r="C47" s="37">
        <v>6</v>
      </c>
      <c r="D47" s="37">
        <v>8388</v>
      </c>
      <c r="E47" s="19" t="s">
        <v>762</v>
      </c>
      <c r="F47" s="19" t="s">
        <v>1409</v>
      </c>
      <c r="G47" s="19" t="s">
        <v>835</v>
      </c>
      <c r="H47" s="19" t="s">
        <v>95</v>
      </c>
      <c r="I47" s="19" t="s">
        <v>1095</v>
      </c>
      <c r="J47" s="19" t="s">
        <v>91</v>
      </c>
      <c r="K47" s="19" t="s">
        <v>27</v>
      </c>
      <c r="L47" s="19">
        <v>98004</v>
      </c>
      <c r="M47" s="19">
        <v>47.612732132700003</v>
      </c>
      <c r="N47" s="19">
        <v>-122.1960946</v>
      </c>
      <c r="O47" s="19" t="s">
        <v>1090</v>
      </c>
      <c r="P47" s="19" t="s">
        <v>1412</v>
      </c>
      <c r="Q47" s="19" t="s">
        <v>1091</v>
      </c>
      <c r="R47" s="19" t="s">
        <v>1092</v>
      </c>
      <c r="S47" s="19" t="s">
        <v>1093</v>
      </c>
      <c r="T47" s="19" t="s">
        <v>1094</v>
      </c>
      <c r="U47" s="19" t="s">
        <v>820</v>
      </c>
      <c r="V47" s="19" t="s">
        <v>782</v>
      </c>
      <c r="W47" s="20">
        <v>1</v>
      </c>
      <c r="X47" s="39">
        <v>2001</v>
      </c>
      <c r="Y47" s="39">
        <v>2014</v>
      </c>
      <c r="Z47" s="25">
        <v>41730</v>
      </c>
      <c r="AA47" s="19">
        <v>2005</v>
      </c>
      <c r="AB47" s="25">
        <v>38200</v>
      </c>
      <c r="AC47" s="19" t="s">
        <v>804</v>
      </c>
      <c r="AD47" s="19" t="s">
        <v>800</v>
      </c>
      <c r="AE47" s="21">
        <v>0</v>
      </c>
      <c r="AF47" s="19">
        <v>5</v>
      </c>
      <c r="AG47" s="19">
        <v>4</v>
      </c>
      <c r="AH47" s="19" t="s">
        <v>792</v>
      </c>
      <c r="AI47" s="19"/>
      <c r="AJ47" s="19"/>
      <c r="AK47" s="19"/>
      <c r="AL47" s="43" t="e">
        <v>#N/A</v>
      </c>
      <c r="AM47" s="19" t="e">
        <v>#N/A</v>
      </c>
      <c r="AN47" s="19" t="e">
        <v>#N/A</v>
      </c>
      <c r="AO47" s="19" t="s">
        <v>1565</v>
      </c>
      <c r="AP47" s="19">
        <v>0</v>
      </c>
      <c r="AQ47" s="26" t="str">
        <f>IFERROR(PropInfo[[#This Row],[Yardi]]*1,PropInfo[[#This Row],[Yardi]])</f>
        <v>pnw2162</v>
      </c>
    </row>
    <row r="48" spans="1:43" x14ac:dyDescent="0.2">
      <c r="A48" s="43" t="s">
        <v>284</v>
      </c>
      <c r="B48" s="19" t="s">
        <v>285</v>
      </c>
      <c r="C48" s="37">
        <v>394</v>
      </c>
      <c r="D48" s="37">
        <v>326361</v>
      </c>
      <c r="E48" s="19" t="s" vm="86">
        <v>1368</v>
      </c>
      <c r="F48" s="19" t="s">
        <v>1409</v>
      </c>
      <c r="G48" s="19" t="s">
        <v>781</v>
      </c>
      <c r="H48" s="19" t="s">
        <v>285</v>
      </c>
      <c r="I48" s="19" t="s">
        <v>1101</v>
      </c>
      <c r="J48" s="19" t="s">
        <v>91</v>
      </c>
      <c r="K48" s="19" t="s">
        <v>27</v>
      </c>
      <c r="L48" s="19">
        <v>98005</v>
      </c>
      <c r="M48" s="19">
        <v>47.6179402</v>
      </c>
      <c r="N48" s="19">
        <v>-122.1596425</v>
      </c>
      <c r="O48" s="19" t="s">
        <v>1090</v>
      </c>
      <c r="P48" s="19" t="s">
        <v>1412</v>
      </c>
      <c r="Q48" s="19" t="s">
        <v>1091</v>
      </c>
      <c r="R48" s="19" t="s">
        <v>1092</v>
      </c>
      <c r="S48" s="19" t="s">
        <v>1093</v>
      </c>
      <c r="T48" s="19" t="s">
        <v>1100</v>
      </c>
      <c r="U48" s="19" t="s">
        <v>790</v>
      </c>
      <c r="V48" s="19" t="s">
        <v>782</v>
      </c>
      <c r="W48" s="20">
        <v>1</v>
      </c>
      <c r="X48" s="39">
        <v>1978</v>
      </c>
      <c r="Y48" s="39">
        <v>1990</v>
      </c>
      <c r="Z48" s="25">
        <v>32933</v>
      </c>
      <c r="AA48" s="19">
        <v>1991</v>
      </c>
      <c r="AB48" s="25">
        <v>32993</v>
      </c>
      <c r="AC48" s="19" t="s">
        <v>783</v>
      </c>
      <c r="AD48" s="19" t="s">
        <v>784</v>
      </c>
      <c r="AE48" s="21" t="s">
        <v>1494</v>
      </c>
      <c r="AF48" s="19">
        <v>3</v>
      </c>
      <c r="AG48" s="19">
        <v>25</v>
      </c>
      <c r="AH48" s="19" t="s">
        <v>792</v>
      </c>
      <c r="AI48" s="19"/>
      <c r="AJ48" s="19"/>
      <c r="AK48" s="19"/>
      <c r="AL48" s="43" t="s">
        <v>284</v>
      </c>
      <c r="AM48" s="19">
        <v>28</v>
      </c>
      <c r="AN48" s="19" t="s">
        <v>1403</v>
      </c>
      <c r="AO48" s="19" t="s">
        <v>1348</v>
      </c>
      <c r="AP48" s="19">
        <v>1197</v>
      </c>
      <c r="AQ48" s="26">
        <f>IFERROR(PropInfo[[#This Row],[Yardi]]*1,PropInfo[[#This Row],[Yardi]])</f>
        <v>69</v>
      </c>
    </row>
    <row r="49" spans="1:43" ht="12" hidden="1" customHeight="1" x14ac:dyDescent="0.2">
      <c r="A49" s="43" t="s">
        <v>99</v>
      </c>
      <c r="B49" s="19" t="s">
        <v>100</v>
      </c>
      <c r="C49" s="37">
        <v>2</v>
      </c>
      <c r="D49" s="37">
        <v>1900</v>
      </c>
      <c r="E49" s="19" t="s" vm="114">
        <v>925</v>
      </c>
      <c r="F49" s="19" t="s">
        <v>1409</v>
      </c>
      <c r="G49" s="19" t="s">
        <v>1212</v>
      </c>
      <c r="H49" s="19" t="s">
        <v>100</v>
      </c>
      <c r="I49" s="19" t="s">
        <v>1213</v>
      </c>
      <c r="J49" s="19" t="s">
        <v>21</v>
      </c>
      <c r="K49" s="19" t="s">
        <v>6</v>
      </c>
      <c r="L49" s="19">
        <v>90026</v>
      </c>
      <c r="M49" s="19">
        <v>34.06082</v>
      </c>
      <c r="N49" s="19">
        <v>-118.2594</v>
      </c>
      <c r="O49" s="19" t="s">
        <v>929</v>
      </c>
      <c r="P49" s="19" t="s">
        <v>1413</v>
      </c>
      <c r="Q49" s="19" t="s">
        <v>930</v>
      </c>
      <c r="R49" s="19" t="s">
        <v>21</v>
      </c>
      <c r="S49" s="19" t="s">
        <v>944</v>
      </c>
      <c r="T49" s="19" t="s">
        <v>960</v>
      </c>
      <c r="U49" s="19" t="s">
        <v>790</v>
      </c>
      <c r="V49" s="19" t="s">
        <v>782</v>
      </c>
      <c r="W49" s="20">
        <v>1</v>
      </c>
      <c r="X49" s="39">
        <v>2008</v>
      </c>
      <c r="Y49" s="39">
        <v>2005</v>
      </c>
      <c r="Z49" s="25">
        <v>39722</v>
      </c>
      <c r="AA49" s="19">
        <v>2010</v>
      </c>
      <c r="AB49" s="25">
        <v>39894</v>
      </c>
      <c r="AC49" s="19" t="s">
        <v>783</v>
      </c>
      <c r="AD49" s="19" t="s">
        <v>784</v>
      </c>
      <c r="AE49" s="21">
        <v>0</v>
      </c>
      <c r="AF49" s="19">
        <v>2</v>
      </c>
      <c r="AG49" s="19">
        <v>1</v>
      </c>
      <c r="AH49" s="19" t="s">
        <v>785</v>
      </c>
      <c r="AI49" s="19" t="s">
        <v>1384</v>
      </c>
      <c r="AJ49" s="19">
        <v>2</v>
      </c>
      <c r="AK49" s="19" t="s">
        <v>1379</v>
      </c>
      <c r="AL49" s="43" t="e">
        <v>#N/A</v>
      </c>
      <c r="AM49" s="19" t="e">
        <v>#N/A</v>
      </c>
      <c r="AN49" s="19" t="e">
        <v>#N/A</v>
      </c>
      <c r="AO49" s="19" t="s">
        <v>1528</v>
      </c>
      <c r="AP49" s="19">
        <v>0</v>
      </c>
      <c r="AQ49" s="26">
        <f>IFERROR(PropInfo[[#This Row],[Yardi]]*1,PropInfo[[#This Row],[Yardi]])</f>
        <v>182</v>
      </c>
    </row>
    <row r="50" spans="1:43" x14ac:dyDescent="0.2">
      <c r="A50" s="43" t="s">
        <v>295</v>
      </c>
      <c r="B50" s="19" t="s">
        <v>296</v>
      </c>
      <c r="C50" s="37">
        <v>320</v>
      </c>
      <c r="D50" s="37">
        <v>207935</v>
      </c>
      <c r="E50" s="19" t="s" vm="187">
        <v>1368</v>
      </c>
      <c r="F50" s="19" t="s">
        <v>1409</v>
      </c>
      <c r="G50" s="19" t="s">
        <v>781</v>
      </c>
      <c r="H50" s="19" t="s">
        <v>296</v>
      </c>
      <c r="I50" s="19" t="s">
        <v>1136</v>
      </c>
      <c r="J50" s="19" t="s">
        <v>26</v>
      </c>
      <c r="K50" s="19" t="s">
        <v>27</v>
      </c>
      <c r="L50" s="19">
        <v>98121</v>
      </c>
      <c r="M50" s="19">
        <v>47.616345000000003</v>
      </c>
      <c r="N50" s="19">
        <v>-122.345606</v>
      </c>
      <c r="O50" s="19" t="s">
        <v>1090</v>
      </c>
      <c r="P50" s="19" t="s">
        <v>1412</v>
      </c>
      <c r="Q50" s="19" t="s">
        <v>1091</v>
      </c>
      <c r="R50" s="19" t="s">
        <v>1092</v>
      </c>
      <c r="S50" s="19" t="s">
        <v>1134</v>
      </c>
      <c r="T50" s="19" t="s">
        <v>1135</v>
      </c>
      <c r="U50" s="19" t="s">
        <v>779</v>
      </c>
      <c r="V50" s="19" t="s">
        <v>782</v>
      </c>
      <c r="W50" s="20">
        <v>1</v>
      </c>
      <c r="X50" s="39">
        <v>2000</v>
      </c>
      <c r="Y50" s="39">
        <v>1997</v>
      </c>
      <c r="Z50" s="25">
        <v>36493</v>
      </c>
      <c r="AA50" s="19">
        <v>2001</v>
      </c>
      <c r="AB50" s="25">
        <v>36891</v>
      </c>
      <c r="AC50" s="19" t="s">
        <v>783</v>
      </c>
      <c r="AD50" s="19" t="s">
        <v>800</v>
      </c>
      <c r="AE50" s="21" t="s">
        <v>1494</v>
      </c>
      <c r="AF50" s="19">
        <v>7</v>
      </c>
      <c r="AG50" s="19">
        <v>1</v>
      </c>
      <c r="AH50" s="19" t="s">
        <v>792</v>
      </c>
      <c r="AI50" s="19"/>
      <c r="AJ50" s="19"/>
      <c r="AK50" s="19"/>
      <c r="AL50" s="43" t="s">
        <v>295</v>
      </c>
      <c r="AM50" s="19">
        <v>0</v>
      </c>
      <c r="AN50" s="19" t="s">
        <v>1406</v>
      </c>
      <c r="AO50" s="19" t="s">
        <v>1351</v>
      </c>
      <c r="AP50" s="19">
        <v>9184</v>
      </c>
      <c r="AQ50" s="26">
        <f>IFERROR(PropInfo[[#This Row],[Yardi]]*1,PropInfo[[#This Row],[Yardi]])</f>
        <v>70</v>
      </c>
    </row>
    <row r="51" spans="1:43" x14ac:dyDescent="0.2">
      <c r="A51" s="43" t="s">
        <v>297</v>
      </c>
      <c r="B51" s="19" t="s">
        <v>298</v>
      </c>
      <c r="C51" s="37">
        <v>705</v>
      </c>
      <c r="D51" s="37">
        <v>594287</v>
      </c>
      <c r="E51" s="19" t="s" vm="28">
        <v>1368</v>
      </c>
      <c r="F51" s="19" t="s">
        <v>1409</v>
      </c>
      <c r="G51" s="19" t="s">
        <v>781</v>
      </c>
      <c r="H51" s="19" t="s">
        <v>298</v>
      </c>
      <c r="I51" s="19" t="s">
        <v>299</v>
      </c>
      <c r="J51" s="19" t="s">
        <v>300</v>
      </c>
      <c r="K51" s="19" t="s">
        <v>6</v>
      </c>
      <c r="L51" s="19">
        <v>90094</v>
      </c>
      <c r="M51" s="19">
        <v>33.974620999999999</v>
      </c>
      <c r="N51" s="19">
        <v>-118.42894</v>
      </c>
      <c r="O51" s="19" t="s">
        <v>929</v>
      </c>
      <c r="P51" s="19" t="s">
        <v>1413</v>
      </c>
      <c r="Q51" s="19" t="s">
        <v>930</v>
      </c>
      <c r="R51" s="19" t="s">
        <v>21</v>
      </c>
      <c r="S51" s="19" t="s">
        <v>956</v>
      </c>
      <c r="T51" s="19" t="s">
        <v>957</v>
      </c>
      <c r="U51" s="19" t="s">
        <v>790</v>
      </c>
      <c r="V51" s="19" t="s">
        <v>782</v>
      </c>
      <c r="W51" s="20">
        <v>1</v>
      </c>
      <c r="X51" s="39">
        <v>2002</v>
      </c>
      <c r="Y51" s="39">
        <v>2004</v>
      </c>
      <c r="Z51" s="25">
        <v>37895</v>
      </c>
      <c r="AA51" s="19">
        <v>2004</v>
      </c>
      <c r="AB51" s="25">
        <v>37955</v>
      </c>
      <c r="AC51" s="19" t="s">
        <v>804</v>
      </c>
      <c r="AD51" s="19" t="s">
        <v>800</v>
      </c>
      <c r="AE51" s="21">
        <v>0</v>
      </c>
      <c r="AF51" s="19">
        <v>4</v>
      </c>
      <c r="AG51" s="19">
        <v>5</v>
      </c>
      <c r="AH51" s="19" t="s">
        <v>785</v>
      </c>
      <c r="AI51" s="19" t="s">
        <v>1381</v>
      </c>
      <c r="AJ51" s="19">
        <v>374</v>
      </c>
      <c r="AK51" s="19">
        <v>2043</v>
      </c>
      <c r="AL51" s="43" t="s">
        <v>297</v>
      </c>
      <c r="AM51" s="19">
        <v>3</v>
      </c>
      <c r="AN51" s="19" t="s">
        <v>1403</v>
      </c>
      <c r="AO51" s="19" t="s">
        <v>1350</v>
      </c>
      <c r="AP51" s="19" t="s">
        <v>1513</v>
      </c>
      <c r="AQ51" s="26">
        <f>IFERROR(PropInfo[[#This Row],[Yardi]]*1,PropInfo[[#This Row],[Yardi]])</f>
        <v>71</v>
      </c>
    </row>
    <row r="52" spans="1:43" x14ac:dyDescent="0.2">
      <c r="A52" s="43" t="s">
        <v>286</v>
      </c>
      <c r="B52" s="19" t="s">
        <v>287</v>
      </c>
      <c r="C52" s="37">
        <v>176</v>
      </c>
      <c r="D52" s="37">
        <v>206800</v>
      </c>
      <c r="E52" s="19" t="s" vm="25">
        <v>1368</v>
      </c>
      <c r="F52" s="19" t="s">
        <v>1409</v>
      </c>
      <c r="G52" s="19" t="s">
        <v>781</v>
      </c>
      <c r="H52" s="19" t="s">
        <v>287</v>
      </c>
      <c r="I52" s="19" t="s">
        <v>890</v>
      </c>
      <c r="J52" s="19" t="s">
        <v>87</v>
      </c>
      <c r="K52" s="19" t="s">
        <v>6</v>
      </c>
      <c r="L52" s="19">
        <v>94583</v>
      </c>
      <c r="M52" s="19">
        <v>37.757835</v>
      </c>
      <c r="N52" s="19">
        <v>-121.967331</v>
      </c>
      <c r="O52" s="19" t="s">
        <v>786</v>
      </c>
      <c r="P52" s="19" t="s">
        <v>1414</v>
      </c>
      <c r="Q52" s="19" t="s">
        <v>853</v>
      </c>
      <c r="R52" s="19" t="s">
        <v>881</v>
      </c>
      <c r="S52" s="19" t="s">
        <v>87</v>
      </c>
      <c r="T52" s="19" t="s">
        <v>858</v>
      </c>
      <c r="U52" s="19" t="s">
        <v>790</v>
      </c>
      <c r="V52" s="19" t="s">
        <v>782</v>
      </c>
      <c r="W52" s="20">
        <v>1</v>
      </c>
      <c r="X52" s="39">
        <v>1985</v>
      </c>
      <c r="Y52" s="39">
        <v>1997</v>
      </c>
      <c r="Z52" s="25">
        <v>35488</v>
      </c>
      <c r="AA52" s="19">
        <v>1998</v>
      </c>
      <c r="AB52" s="25">
        <v>35520</v>
      </c>
      <c r="AC52" s="19" t="s">
        <v>783</v>
      </c>
      <c r="AD52" s="19" t="s">
        <v>784</v>
      </c>
      <c r="AE52" s="21">
        <v>0</v>
      </c>
      <c r="AF52" s="19">
        <v>2</v>
      </c>
      <c r="AG52" s="19">
        <v>28</v>
      </c>
      <c r="AH52" s="19" t="s">
        <v>809</v>
      </c>
      <c r="AI52" s="19"/>
      <c r="AJ52" s="19"/>
      <c r="AK52" s="19"/>
      <c r="AL52" s="43" t="s">
        <v>286</v>
      </c>
      <c r="AM52" s="19">
        <v>37</v>
      </c>
      <c r="AN52" s="19" t="s">
        <v>1403</v>
      </c>
      <c r="AO52" s="19" t="s">
        <v>1586</v>
      </c>
      <c r="AP52" s="19">
        <v>1157</v>
      </c>
      <c r="AQ52" s="26">
        <f>IFERROR(PropInfo[[#This Row],[Yardi]]*1,PropInfo[[#This Row],[Yardi]])</f>
        <v>73</v>
      </c>
    </row>
    <row r="53" spans="1:43" x14ac:dyDescent="0.2">
      <c r="A53" s="43" t="s">
        <v>288</v>
      </c>
      <c r="B53" s="19" t="s">
        <v>1131</v>
      </c>
      <c r="C53" s="37">
        <v>192</v>
      </c>
      <c r="D53" s="37">
        <v>182538</v>
      </c>
      <c r="E53" s="19" t="s" vm="90">
        <v>1368</v>
      </c>
      <c r="F53" s="19" t="s">
        <v>1409</v>
      </c>
      <c r="G53" s="19" t="s">
        <v>781</v>
      </c>
      <c r="H53" s="19" t="s">
        <v>1131</v>
      </c>
      <c r="I53" s="19" t="s">
        <v>1132</v>
      </c>
      <c r="J53" s="19" t="s">
        <v>135</v>
      </c>
      <c r="K53" s="19" t="s">
        <v>27</v>
      </c>
      <c r="L53" s="19">
        <v>98059</v>
      </c>
      <c r="M53" s="19">
        <v>47.495544000000002</v>
      </c>
      <c r="N53" s="19">
        <v>-122.156502</v>
      </c>
      <c r="O53" s="19" t="s">
        <v>1090</v>
      </c>
      <c r="P53" s="19" t="s">
        <v>1412</v>
      </c>
      <c r="Q53" s="19" t="s">
        <v>1091</v>
      </c>
      <c r="R53" s="19" t="s">
        <v>1092</v>
      </c>
      <c r="S53" s="19" t="s">
        <v>1114</v>
      </c>
      <c r="T53" s="19" t="s">
        <v>135</v>
      </c>
      <c r="U53" s="19" t="s">
        <v>790</v>
      </c>
      <c r="V53" s="19" t="s">
        <v>782</v>
      </c>
      <c r="W53" s="20">
        <v>1</v>
      </c>
      <c r="X53" s="39">
        <v>1998</v>
      </c>
      <c r="Y53" s="39">
        <v>2003</v>
      </c>
      <c r="Z53" s="25">
        <v>37903</v>
      </c>
      <c r="AA53" s="19">
        <v>2004</v>
      </c>
      <c r="AB53" s="25">
        <v>37955</v>
      </c>
      <c r="AC53" s="19" t="s">
        <v>783</v>
      </c>
      <c r="AD53" s="19" t="s">
        <v>784</v>
      </c>
      <c r="AE53" s="21" t="s">
        <v>1494</v>
      </c>
      <c r="AF53" s="19">
        <v>3</v>
      </c>
      <c r="AG53" s="19">
        <v>8</v>
      </c>
      <c r="AH53" s="19" t="s">
        <v>785</v>
      </c>
      <c r="AI53" s="19"/>
      <c r="AJ53" s="19"/>
      <c r="AK53" s="19"/>
      <c r="AL53" s="43" t="s">
        <v>288</v>
      </c>
      <c r="AM53" s="19">
        <v>0</v>
      </c>
      <c r="AN53" s="19" t="s">
        <v>1406</v>
      </c>
      <c r="AO53" s="19" t="s">
        <v>1353</v>
      </c>
      <c r="AP53" s="19">
        <v>3263</v>
      </c>
      <c r="AQ53" s="26">
        <f>IFERROR(PropInfo[[#This Row],[Yardi]]*1,PropInfo[[#This Row],[Yardi]])</f>
        <v>74</v>
      </c>
    </row>
    <row r="54" spans="1:43" x14ac:dyDescent="0.2">
      <c r="A54" s="43" t="s">
        <v>531</v>
      </c>
      <c r="B54" s="19" t="s">
        <v>532</v>
      </c>
      <c r="C54" s="37">
        <v>238</v>
      </c>
      <c r="D54" s="37">
        <v>198890</v>
      </c>
      <c r="E54" s="19" t="s" vm="189">
        <v>1368</v>
      </c>
      <c r="F54" s="19" t="s">
        <v>1409</v>
      </c>
      <c r="G54" s="19" t="s">
        <v>781</v>
      </c>
      <c r="H54" s="19" t="s">
        <v>532</v>
      </c>
      <c r="I54" s="19" t="s">
        <v>952</v>
      </c>
      <c r="J54" s="19" t="s">
        <v>21</v>
      </c>
      <c r="K54" s="19" t="s">
        <v>6</v>
      </c>
      <c r="L54" s="19">
        <v>90014</v>
      </c>
      <c r="M54" s="19">
        <v>34.043101999999998</v>
      </c>
      <c r="N54" s="19">
        <v>-118.250488</v>
      </c>
      <c r="O54" s="19" t="s">
        <v>929</v>
      </c>
      <c r="P54" s="19" t="s">
        <v>1413</v>
      </c>
      <c r="Q54" s="19" t="s">
        <v>930</v>
      </c>
      <c r="R54" s="19" t="s">
        <v>21</v>
      </c>
      <c r="S54" s="19" t="s">
        <v>944</v>
      </c>
      <c r="T54" s="19" t="s">
        <v>945</v>
      </c>
      <c r="U54" s="19" t="s">
        <v>790</v>
      </c>
      <c r="V54" s="19" t="s">
        <v>782</v>
      </c>
      <c r="W54" s="20">
        <v>1</v>
      </c>
      <c r="X54" s="39">
        <v>2011</v>
      </c>
      <c r="Y54" s="39">
        <v>2010</v>
      </c>
      <c r="Z54" s="25">
        <v>40606</v>
      </c>
      <c r="AA54" s="19">
        <v>2013</v>
      </c>
      <c r="AB54" s="25">
        <v>40969</v>
      </c>
      <c r="AC54" s="19" t="s">
        <v>804</v>
      </c>
      <c r="AD54" s="19" t="s">
        <v>917</v>
      </c>
      <c r="AE54" s="21">
        <v>73</v>
      </c>
      <c r="AF54" s="19">
        <v>10</v>
      </c>
      <c r="AG54" s="19">
        <v>4</v>
      </c>
      <c r="AH54" s="19" t="s">
        <v>953</v>
      </c>
      <c r="AI54" s="19" t="s">
        <v>1382</v>
      </c>
      <c r="AJ54" s="19">
        <v>33</v>
      </c>
      <c r="AK54" s="19">
        <v>2057</v>
      </c>
      <c r="AL54" s="43" t="s">
        <v>531</v>
      </c>
      <c r="AM54" s="19">
        <v>2</v>
      </c>
      <c r="AN54" s="19" t="s">
        <v>1403</v>
      </c>
      <c r="AO54" s="19" t="s">
        <v>1528</v>
      </c>
      <c r="AP54" s="19" t="s">
        <v>1512</v>
      </c>
      <c r="AQ54" s="26">
        <f>IFERROR(PropInfo[[#This Row],[Yardi]]*1,PropInfo[[#This Row],[Yardi]])</f>
        <v>78</v>
      </c>
    </row>
    <row r="55" spans="1:43" x14ac:dyDescent="0.2">
      <c r="A55" s="43" t="s">
        <v>533</v>
      </c>
      <c r="B55" s="19" t="s">
        <v>534</v>
      </c>
      <c r="C55" s="37">
        <v>17</v>
      </c>
      <c r="D55" s="37">
        <v>34083</v>
      </c>
      <c r="E55" s="19" t="s">
        <v>762</v>
      </c>
      <c r="F55" s="19" t="s">
        <v>1409</v>
      </c>
      <c r="G55" s="19" t="s">
        <v>835</v>
      </c>
      <c r="H55" s="19" t="s">
        <v>534</v>
      </c>
      <c r="I55" s="19" t="s">
        <v>954</v>
      </c>
      <c r="J55" s="19" t="s">
        <v>21</v>
      </c>
      <c r="K55" s="19" t="s">
        <v>6</v>
      </c>
      <c r="L55" s="19">
        <v>90014</v>
      </c>
      <c r="M55" s="19">
        <v>34.043101999999998</v>
      </c>
      <c r="N55" s="19">
        <v>-118.250488</v>
      </c>
      <c r="O55" s="19" t="s">
        <v>929</v>
      </c>
      <c r="P55" s="19" t="s">
        <v>1413</v>
      </c>
      <c r="Q55" s="19" t="s">
        <v>930</v>
      </c>
      <c r="R55" s="19" t="s">
        <v>21</v>
      </c>
      <c r="S55" s="19" t="s">
        <v>944</v>
      </c>
      <c r="T55" s="19" t="s">
        <v>945</v>
      </c>
      <c r="U55" s="19" t="s">
        <v>790</v>
      </c>
      <c r="V55" s="19" t="s">
        <v>782</v>
      </c>
      <c r="W55" s="20">
        <v>1</v>
      </c>
      <c r="X55" s="39">
        <v>2004</v>
      </c>
      <c r="Y55" s="39">
        <v>2010</v>
      </c>
      <c r="Z55" s="25">
        <v>40606</v>
      </c>
      <c r="AA55" s="19">
        <v>2013</v>
      </c>
      <c r="AB55" s="25">
        <v>40969</v>
      </c>
      <c r="AC55" s="19" t="s">
        <v>804</v>
      </c>
      <c r="AD55" s="19" t="s">
        <v>917</v>
      </c>
      <c r="AE55" s="21">
        <v>0</v>
      </c>
      <c r="AF55" s="19">
        <v>5</v>
      </c>
      <c r="AG55" s="19">
        <v>3</v>
      </c>
      <c r="AH55" s="19" t="s">
        <v>809</v>
      </c>
      <c r="AI55" s="19"/>
      <c r="AJ55" s="19"/>
      <c r="AK55" s="19"/>
      <c r="AL55" s="43" t="s">
        <v>533</v>
      </c>
      <c r="AM55" s="19" t="e">
        <v>#N/A</v>
      </c>
      <c r="AN55" s="19" t="e">
        <v>#N/A</v>
      </c>
      <c r="AO55" s="19" t="s">
        <v>1565</v>
      </c>
      <c r="AP55" s="19">
        <v>0</v>
      </c>
      <c r="AQ55" s="26">
        <f>IFERROR(PropInfo[[#This Row],[Yardi]]*1,PropInfo[[#This Row],[Yardi]])</f>
        <v>79</v>
      </c>
    </row>
    <row r="56" spans="1:43" x14ac:dyDescent="0.2">
      <c r="A56" s="43" t="s">
        <v>349</v>
      </c>
      <c r="B56" s="19" t="s">
        <v>1034</v>
      </c>
      <c r="C56" s="37">
        <v>342</v>
      </c>
      <c r="D56" s="37">
        <v>241691</v>
      </c>
      <c r="E56" s="19" t="s" vm="30">
        <v>1368</v>
      </c>
      <c r="F56" s="19" t="s">
        <v>1409</v>
      </c>
      <c r="G56" s="19" t="s">
        <v>781</v>
      </c>
      <c r="H56" s="19" t="s">
        <v>1034</v>
      </c>
      <c r="I56" s="19" t="s">
        <v>1035</v>
      </c>
      <c r="J56" s="19" t="s">
        <v>350</v>
      </c>
      <c r="K56" s="19" t="s">
        <v>6</v>
      </c>
      <c r="L56" s="19">
        <v>92648</v>
      </c>
      <c r="M56" s="19">
        <v>33.653846999999999</v>
      </c>
      <c r="N56" s="19">
        <v>-117.987915</v>
      </c>
      <c r="O56" s="19" t="s">
        <v>929</v>
      </c>
      <c r="P56" s="19" t="s">
        <v>1415</v>
      </c>
      <c r="Q56" s="19" t="s">
        <v>1017</v>
      </c>
      <c r="R56" s="19" t="s">
        <v>510</v>
      </c>
      <c r="S56" s="19" t="s">
        <v>1018</v>
      </c>
      <c r="T56" s="19" t="s">
        <v>350</v>
      </c>
      <c r="U56" s="19" t="s">
        <v>790</v>
      </c>
      <c r="V56" s="19" t="s">
        <v>782</v>
      </c>
      <c r="W56" s="20">
        <v>1</v>
      </c>
      <c r="X56" s="39">
        <v>1984</v>
      </c>
      <c r="Y56" s="39">
        <v>1997</v>
      </c>
      <c r="Z56" s="25">
        <v>35704</v>
      </c>
      <c r="AA56" s="19">
        <v>1998</v>
      </c>
      <c r="AB56" s="25">
        <v>35764</v>
      </c>
      <c r="AC56" s="19" t="s">
        <v>783</v>
      </c>
      <c r="AD56" s="19" t="s">
        <v>800</v>
      </c>
      <c r="AE56" s="21">
        <v>0</v>
      </c>
      <c r="AF56" s="19">
        <v>4</v>
      </c>
      <c r="AG56" s="19">
        <v>22</v>
      </c>
      <c r="AH56" s="19" t="s">
        <v>792</v>
      </c>
      <c r="AI56" s="19"/>
      <c r="AJ56" s="19"/>
      <c r="AK56" s="19"/>
      <c r="AL56" s="43" t="s">
        <v>349</v>
      </c>
      <c r="AM56" s="19">
        <v>0</v>
      </c>
      <c r="AN56" s="19" t="s">
        <v>1406</v>
      </c>
      <c r="AO56" s="19" t="s">
        <v>1584</v>
      </c>
      <c r="AP56" s="19">
        <v>1160</v>
      </c>
      <c r="AQ56" s="26">
        <f>IFERROR(PropInfo[[#This Row],[Yardi]]*1,PropInfo[[#This Row],[Yardi]])</f>
        <v>80</v>
      </c>
    </row>
    <row r="57" spans="1:43" x14ac:dyDescent="0.2">
      <c r="A57" s="43" t="s">
        <v>329</v>
      </c>
      <c r="B57" s="19" t="s">
        <v>1442</v>
      </c>
      <c r="C57" s="37">
        <v>324</v>
      </c>
      <c r="D57" s="37">
        <v>290904</v>
      </c>
      <c r="E57" s="19" t="s" vm="27">
        <v>1368</v>
      </c>
      <c r="F57" s="19" t="s">
        <v>1409</v>
      </c>
      <c r="G57" s="19" t="s">
        <v>781</v>
      </c>
      <c r="H57" s="19" t="s">
        <v>1009</v>
      </c>
      <c r="I57" s="19" t="s">
        <v>330</v>
      </c>
      <c r="J57" s="19" t="s">
        <v>331</v>
      </c>
      <c r="K57" s="19" t="s">
        <v>6</v>
      </c>
      <c r="L57" s="19">
        <v>93063</v>
      </c>
      <c r="M57" s="19">
        <v>34.270930999999997</v>
      </c>
      <c r="N57" s="19">
        <v>-118.69381</v>
      </c>
      <c r="O57" s="19" t="s">
        <v>929</v>
      </c>
      <c r="P57" s="19" t="s">
        <v>1413</v>
      </c>
      <c r="Q57" s="19" t="s">
        <v>995</v>
      </c>
      <c r="R57" s="19" t="s">
        <v>375</v>
      </c>
      <c r="S57" s="19" t="s">
        <v>375</v>
      </c>
      <c r="T57" s="19" t="s">
        <v>1001</v>
      </c>
      <c r="U57" s="19" t="s">
        <v>779</v>
      </c>
      <c r="V57" s="19" t="s">
        <v>794</v>
      </c>
      <c r="W57" s="20">
        <v>0.75</v>
      </c>
      <c r="X57" s="39">
        <v>2004</v>
      </c>
      <c r="Y57" s="39">
        <v>2001</v>
      </c>
      <c r="Z57" s="25">
        <v>36759</v>
      </c>
      <c r="AA57" s="19">
        <v>2005</v>
      </c>
      <c r="AB57" s="25">
        <v>38260</v>
      </c>
      <c r="AC57" s="19" t="s">
        <v>783</v>
      </c>
      <c r="AD57" s="19" t="s">
        <v>784</v>
      </c>
      <c r="AE57" s="21">
        <v>0</v>
      </c>
      <c r="AF57" s="19">
        <v>3</v>
      </c>
      <c r="AG57" s="19">
        <v>12</v>
      </c>
      <c r="AH57" s="19" t="s">
        <v>785</v>
      </c>
      <c r="AI57" s="19" t="s">
        <v>1383</v>
      </c>
      <c r="AJ57" s="19">
        <v>81</v>
      </c>
      <c r="AK57" s="19">
        <v>2058</v>
      </c>
      <c r="AL57" s="43" t="s">
        <v>329</v>
      </c>
      <c r="AM57" s="19">
        <v>0</v>
      </c>
      <c r="AN57" s="19" t="s">
        <v>1406</v>
      </c>
      <c r="AO57" s="19" t="s">
        <v>1363</v>
      </c>
      <c r="AP57" s="19">
        <v>14053</v>
      </c>
      <c r="AQ57" s="26">
        <f>IFERROR(PropInfo[[#This Row],[Yardi]]*1,PropInfo[[#This Row],[Yardi]])</f>
        <v>83</v>
      </c>
    </row>
    <row r="58" spans="1:43" x14ac:dyDescent="0.2">
      <c r="A58" s="43" t="s">
        <v>351</v>
      </c>
      <c r="B58" s="19" t="s">
        <v>352</v>
      </c>
      <c r="C58" s="37">
        <v>224</v>
      </c>
      <c r="D58" s="37">
        <v>183624</v>
      </c>
      <c r="E58" s="19" t="s" vm="91">
        <v>1368</v>
      </c>
      <c r="F58" s="19" t="s">
        <v>1409</v>
      </c>
      <c r="G58" s="19" t="s">
        <v>781</v>
      </c>
      <c r="H58" s="19" t="s">
        <v>352</v>
      </c>
      <c r="I58" s="19" t="s">
        <v>353</v>
      </c>
      <c r="J58" s="19" t="s">
        <v>61</v>
      </c>
      <c r="K58" s="19" t="s">
        <v>27</v>
      </c>
      <c r="L58" s="19">
        <v>98034</v>
      </c>
      <c r="M58" s="19">
        <v>47.729149</v>
      </c>
      <c r="N58" s="19">
        <v>-122.243385</v>
      </c>
      <c r="O58" s="19" t="s">
        <v>1090</v>
      </c>
      <c r="P58" s="19" t="s">
        <v>1412</v>
      </c>
      <c r="Q58" s="19" t="s">
        <v>1091</v>
      </c>
      <c r="R58" s="19" t="s">
        <v>1092</v>
      </c>
      <c r="S58" s="19" t="s">
        <v>1093</v>
      </c>
      <c r="T58" s="19" t="s">
        <v>1108</v>
      </c>
      <c r="U58" s="19" t="s">
        <v>790</v>
      </c>
      <c r="V58" s="19" t="s">
        <v>782</v>
      </c>
      <c r="W58" s="20">
        <v>1</v>
      </c>
      <c r="X58" s="39">
        <v>1985</v>
      </c>
      <c r="Y58" s="39">
        <v>1994</v>
      </c>
      <c r="Z58" s="25">
        <v>34627</v>
      </c>
      <c r="AA58" s="19">
        <v>1995</v>
      </c>
      <c r="AB58" s="25">
        <v>34668</v>
      </c>
      <c r="AC58" s="19" t="s">
        <v>783</v>
      </c>
      <c r="AD58" s="19" t="s">
        <v>784</v>
      </c>
      <c r="AE58" s="27">
        <v>224</v>
      </c>
      <c r="AF58" s="19">
        <v>2</v>
      </c>
      <c r="AG58" s="19">
        <v>14</v>
      </c>
      <c r="AH58" s="19" t="s">
        <v>785</v>
      </c>
      <c r="AI58" s="19" t="s">
        <v>1377</v>
      </c>
      <c r="AJ58" s="19">
        <v>45</v>
      </c>
      <c r="AK58" s="19">
        <v>2019</v>
      </c>
      <c r="AL58" s="43" t="s">
        <v>351</v>
      </c>
      <c r="AM58" s="19">
        <v>0</v>
      </c>
      <c r="AN58" s="19" t="s">
        <v>1406</v>
      </c>
      <c r="AO58" s="19" t="s">
        <v>1349</v>
      </c>
      <c r="AP58" s="19">
        <v>1161</v>
      </c>
      <c r="AQ58" s="26">
        <f>IFERROR(PropInfo[[#This Row],[Yardi]]*1,PropInfo[[#This Row],[Yardi]])</f>
        <v>84</v>
      </c>
    </row>
    <row r="59" spans="1:43" x14ac:dyDescent="0.2">
      <c r="A59" s="43" t="s">
        <v>358</v>
      </c>
      <c r="B59" s="19" t="s">
        <v>1574</v>
      </c>
      <c r="C59" s="37">
        <v>196</v>
      </c>
      <c r="D59" s="37">
        <v>132399</v>
      </c>
      <c r="E59" s="19" t="s" vm="192">
        <v>1368</v>
      </c>
      <c r="F59" s="19" t="s">
        <v>1409</v>
      </c>
      <c r="G59" s="19" t="s">
        <v>781</v>
      </c>
      <c r="H59" s="19" t="s">
        <v>359</v>
      </c>
      <c r="I59" s="19" t="s">
        <v>964</v>
      </c>
      <c r="J59" s="19" t="s">
        <v>21</v>
      </c>
      <c r="K59" s="19" t="s">
        <v>6</v>
      </c>
      <c r="L59" s="19">
        <v>90069</v>
      </c>
      <c r="M59" s="19">
        <v>34.084538000000002</v>
      </c>
      <c r="N59" s="19">
        <v>-118.37215399999999</v>
      </c>
      <c r="O59" s="19" t="s">
        <v>929</v>
      </c>
      <c r="P59" s="19" t="s">
        <v>1413</v>
      </c>
      <c r="Q59" s="19" t="s">
        <v>930</v>
      </c>
      <c r="R59" s="19" t="s">
        <v>21</v>
      </c>
      <c r="S59" s="19" t="s">
        <v>956</v>
      </c>
      <c r="T59" s="19" t="s">
        <v>354</v>
      </c>
      <c r="U59" s="19" t="s">
        <v>790</v>
      </c>
      <c r="V59" s="19" t="s">
        <v>782</v>
      </c>
      <c r="W59" s="20">
        <v>1</v>
      </c>
      <c r="X59" s="39">
        <v>1979</v>
      </c>
      <c r="Y59" s="39">
        <v>1997</v>
      </c>
      <c r="Z59" s="25">
        <v>35584</v>
      </c>
      <c r="AA59" s="19">
        <v>1998</v>
      </c>
      <c r="AB59" s="25">
        <v>35642</v>
      </c>
      <c r="AC59" s="19" t="s">
        <v>783</v>
      </c>
      <c r="AD59" s="19" t="s">
        <v>800</v>
      </c>
      <c r="AE59" s="21">
        <v>0</v>
      </c>
      <c r="AF59" s="19">
        <v>4</v>
      </c>
      <c r="AG59" s="19">
        <v>1</v>
      </c>
      <c r="AH59" s="19" t="s">
        <v>792</v>
      </c>
      <c r="AI59" s="19" t="s">
        <v>1384</v>
      </c>
      <c r="AJ59" s="19">
        <v>196</v>
      </c>
      <c r="AK59" s="19" t="s">
        <v>1379</v>
      </c>
      <c r="AL59" s="43" t="s">
        <v>358</v>
      </c>
      <c r="AM59" s="19">
        <v>0</v>
      </c>
      <c r="AN59" s="19" t="s">
        <v>1406</v>
      </c>
      <c r="AO59" s="19" t="s">
        <v>1350</v>
      </c>
      <c r="AP59" s="19">
        <v>1163</v>
      </c>
      <c r="AQ59" s="26">
        <f>IFERROR(PropInfo[[#This Row],[Yardi]]*1,PropInfo[[#This Row],[Yardi]])</f>
        <v>86</v>
      </c>
    </row>
    <row r="60" spans="1:43" x14ac:dyDescent="0.2">
      <c r="A60" s="43" t="s">
        <v>322</v>
      </c>
      <c r="B60" s="19" t="s">
        <v>1284</v>
      </c>
      <c r="C60" s="37">
        <v>215</v>
      </c>
      <c r="D60" s="37">
        <v>213183</v>
      </c>
      <c r="E60" s="19" t="s" vm="31">
        <v>1368</v>
      </c>
      <c r="F60" s="19" t="s">
        <v>1409</v>
      </c>
      <c r="G60" s="19" t="s">
        <v>781</v>
      </c>
      <c r="H60" s="19" t="s">
        <v>1284</v>
      </c>
      <c r="I60" s="19" t="s">
        <v>940</v>
      </c>
      <c r="J60" s="19" t="s">
        <v>16</v>
      </c>
      <c r="K60" s="19" t="s">
        <v>6</v>
      </c>
      <c r="L60" s="19">
        <v>91202</v>
      </c>
      <c r="M60" s="19">
        <v>34.162723999999997</v>
      </c>
      <c r="N60" s="19">
        <v>-118.261375</v>
      </c>
      <c r="O60" s="19" t="s">
        <v>929</v>
      </c>
      <c r="P60" s="19" t="s">
        <v>1413</v>
      </c>
      <c r="Q60" s="19" t="s">
        <v>930</v>
      </c>
      <c r="R60" s="19" t="s">
        <v>21</v>
      </c>
      <c r="S60" s="19" t="s">
        <v>931</v>
      </c>
      <c r="T60" s="19" t="s">
        <v>932</v>
      </c>
      <c r="U60" s="19" t="s">
        <v>790</v>
      </c>
      <c r="V60" s="19" t="s">
        <v>782</v>
      </c>
      <c r="W60" s="20">
        <v>1</v>
      </c>
      <c r="X60" s="39">
        <v>1974</v>
      </c>
      <c r="Y60" s="39">
        <v>1999</v>
      </c>
      <c r="Z60" s="25">
        <v>36322</v>
      </c>
      <c r="AA60" s="19">
        <v>2000</v>
      </c>
      <c r="AB60" s="25">
        <v>36372</v>
      </c>
      <c r="AC60" s="19" t="s">
        <v>783</v>
      </c>
      <c r="AD60" s="19" t="s">
        <v>800</v>
      </c>
      <c r="AE60" s="21">
        <v>0</v>
      </c>
      <c r="AF60" s="19">
        <v>4</v>
      </c>
      <c r="AG60" s="19">
        <v>2</v>
      </c>
      <c r="AH60" s="19" t="s">
        <v>792</v>
      </c>
      <c r="AI60" s="19"/>
      <c r="AJ60" s="19"/>
      <c r="AK60" s="19"/>
      <c r="AL60" s="43" t="s">
        <v>322</v>
      </c>
      <c r="AM60" s="19">
        <v>38</v>
      </c>
      <c r="AN60" s="19" t="s">
        <v>1403</v>
      </c>
      <c r="AO60" s="19" t="s">
        <v>1589</v>
      </c>
      <c r="AP60" s="19" t="s">
        <v>1511</v>
      </c>
      <c r="AQ60" s="26">
        <f>IFERROR(PropInfo[[#This Row],[Yardi]]*1,PropInfo[[#This Row],[Yardi]])</f>
        <v>87</v>
      </c>
    </row>
    <row r="61" spans="1:43" x14ac:dyDescent="0.2">
      <c r="A61" s="43" t="s">
        <v>401</v>
      </c>
      <c r="B61" s="19" t="s">
        <v>1443</v>
      </c>
      <c r="C61" s="37">
        <v>188</v>
      </c>
      <c r="D61" s="37">
        <v>176860</v>
      </c>
      <c r="E61" s="19" t="s" vm="29">
        <v>1368</v>
      </c>
      <c r="F61" s="19" t="s">
        <v>1409</v>
      </c>
      <c r="G61" s="19" t="s">
        <v>781</v>
      </c>
      <c r="H61" s="19" t="s">
        <v>1443</v>
      </c>
      <c r="I61" s="19" t="s">
        <v>980</v>
      </c>
      <c r="J61" s="19" t="s">
        <v>55</v>
      </c>
      <c r="K61" s="19" t="s">
        <v>6</v>
      </c>
      <c r="L61" s="19">
        <v>90292</v>
      </c>
      <c r="M61" s="19">
        <v>33.985092000000002</v>
      </c>
      <c r="N61" s="19">
        <v>-118.44654800000001</v>
      </c>
      <c r="O61" s="19" t="s">
        <v>929</v>
      </c>
      <c r="P61" s="19" t="s">
        <v>1413</v>
      </c>
      <c r="Q61" s="19" t="s">
        <v>930</v>
      </c>
      <c r="R61" s="19" t="s">
        <v>21</v>
      </c>
      <c r="S61" s="19" t="s">
        <v>956</v>
      </c>
      <c r="T61" s="19" t="s">
        <v>976</v>
      </c>
      <c r="U61" s="19" t="s">
        <v>779</v>
      </c>
      <c r="V61" s="19" t="s">
        <v>782</v>
      </c>
      <c r="W61" s="20">
        <v>1</v>
      </c>
      <c r="X61" s="39">
        <v>2000</v>
      </c>
      <c r="Y61" s="39">
        <v>1997</v>
      </c>
      <c r="Z61" s="25">
        <v>35851</v>
      </c>
      <c r="AA61" s="19">
        <v>2001</v>
      </c>
      <c r="AB61" s="25">
        <v>36616</v>
      </c>
      <c r="AC61" s="19" t="s">
        <v>783</v>
      </c>
      <c r="AD61" s="19" t="s">
        <v>800</v>
      </c>
      <c r="AE61" s="21">
        <v>0</v>
      </c>
      <c r="AF61" s="19">
        <v>5</v>
      </c>
      <c r="AG61" s="19">
        <v>1</v>
      </c>
      <c r="AH61" s="19" t="s">
        <v>792</v>
      </c>
      <c r="AI61" s="19" t="s">
        <v>1377</v>
      </c>
      <c r="AJ61" s="19">
        <v>38</v>
      </c>
      <c r="AK61" s="19">
        <v>2040</v>
      </c>
      <c r="AL61" s="43" t="s">
        <v>401</v>
      </c>
      <c r="AM61" s="19">
        <v>0</v>
      </c>
      <c r="AN61" s="19" t="s">
        <v>1406</v>
      </c>
      <c r="AO61" s="19" t="s">
        <v>1350</v>
      </c>
      <c r="AP61" s="19">
        <v>10774</v>
      </c>
      <c r="AQ61" s="26">
        <f>IFERROR(PropInfo[[#This Row],[Yardi]]*1,PropInfo[[#This Row],[Yardi]])</f>
        <v>92</v>
      </c>
    </row>
    <row r="62" spans="1:43" x14ac:dyDescent="0.2">
      <c r="A62" s="43" t="s">
        <v>337</v>
      </c>
      <c r="B62" s="19" t="s">
        <v>1002</v>
      </c>
      <c r="C62" s="37">
        <v>608</v>
      </c>
      <c r="D62" s="37">
        <v>522547</v>
      </c>
      <c r="E62" s="19" t="s" vm="92">
        <v>1368</v>
      </c>
      <c r="F62" s="19" t="s">
        <v>1409</v>
      </c>
      <c r="G62" s="19" t="s">
        <v>781</v>
      </c>
      <c r="H62" s="19" t="s">
        <v>1002</v>
      </c>
      <c r="I62" s="19" t="s">
        <v>338</v>
      </c>
      <c r="J62" s="19" t="s">
        <v>339</v>
      </c>
      <c r="K62" s="19" t="s">
        <v>6</v>
      </c>
      <c r="L62" s="19">
        <v>91320</v>
      </c>
      <c r="M62" s="19">
        <v>34.186965999999998</v>
      </c>
      <c r="N62" s="19">
        <v>-118.91873200000001</v>
      </c>
      <c r="O62" s="19" t="s">
        <v>929</v>
      </c>
      <c r="P62" s="19" t="s">
        <v>1413</v>
      </c>
      <c r="Q62" s="19" t="s">
        <v>995</v>
      </c>
      <c r="R62" s="19" t="s">
        <v>375</v>
      </c>
      <c r="S62" s="19" t="s">
        <v>375</v>
      </c>
      <c r="T62" s="19" t="s">
        <v>997</v>
      </c>
      <c r="U62" s="19" t="s">
        <v>790</v>
      </c>
      <c r="V62" s="19" t="s">
        <v>782</v>
      </c>
      <c r="W62" s="20">
        <v>1</v>
      </c>
      <c r="X62" s="39">
        <v>1973</v>
      </c>
      <c r="Y62" s="39">
        <v>1998</v>
      </c>
      <c r="Z62" s="25">
        <v>35851</v>
      </c>
      <c r="AA62" s="19">
        <v>1999</v>
      </c>
      <c r="AB62" s="25">
        <v>35885</v>
      </c>
      <c r="AC62" s="19" t="s">
        <v>783</v>
      </c>
      <c r="AD62" s="19" t="s">
        <v>784</v>
      </c>
      <c r="AE62" s="21">
        <v>0</v>
      </c>
      <c r="AF62" s="19">
        <v>2</v>
      </c>
      <c r="AG62" s="19">
        <v>35</v>
      </c>
      <c r="AH62" s="19" t="s">
        <v>785</v>
      </c>
      <c r="AI62" s="19"/>
      <c r="AJ62" s="19"/>
      <c r="AK62" s="19"/>
      <c r="AL62" s="43" t="s">
        <v>337</v>
      </c>
      <c r="AM62" s="19">
        <v>0</v>
      </c>
      <c r="AN62" s="19" t="s">
        <v>1406</v>
      </c>
      <c r="AO62" s="19" t="s">
        <v>1355</v>
      </c>
      <c r="AP62" s="19">
        <v>2862</v>
      </c>
      <c r="AQ62" s="26">
        <f>IFERROR(PropInfo[[#This Row],[Yardi]]*1,PropInfo[[#This Row],[Yardi]])</f>
        <v>93</v>
      </c>
    </row>
    <row r="63" spans="1:43" x14ac:dyDescent="0.2">
      <c r="A63" s="43" t="s">
        <v>383</v>
      </c>
      <c r="B63" s="19" t="s">
        <v>384</v>
      </c>
      <c r="C63" s="37">
        <v>292</v>
      </c>
      <c r="D63" s="37">
        <v>259100</v>
      </c>
      <c r="E63" s="19" t="s" vm="190">
        <v>1368</v>
      </c>
      <c r="F63" s="19" t="s">
        <v>1409</v>
      </c>
      <c r="G63" s="19" t="s">
        <v>781</v>
      </c>
      <c r="H63" s="19" t="s">
        <v>384</v>
      </c>
      <c r="I63" s="19" t="s">
        <v>841</v>
      </c>
      <c r="J63" s="19" t="s">
        <v>5</v>
      </c>
      <c r="K63" s="19" t="s">
        <v>6</v>
      </c>
      <c r="L63" s="19">
        <v>95051</v>
      </c>
      <c r="M63" s="19">
        <v>37.348534000000001</v>
      </c>
      <c r="N63" s="19">
        <v>-121.991066</v>
      </c>
      <c r="O63" s="19" t="s">
        <v>786</v>
      </c>
      <c r="P63" s="19" t="s">
        <v>1414</v>
      </c>
      <c r="Q63" s="19" t="s">
        <v>787</v>
      </c>
      <c r="R63" s="19" t="s">
        <v>5</v>
      </c>
      <c r="S63" s="19" t="s">
        <v>788</v>
      </c>
      <c r="T63" s="19" t="s">
        <v>5</v>
      </c>
      <c r="U63" s="19" t="s">
        <v>790</v>
      </c>
      <c r="V63" s="19" t="s">
        <v>782</v>
      </c>
      <c r="W63" s="20">
        <v>1</v>
      </c>
      <c r="X63" s="39">
        <v>1974</v>
      </c>
      <c r="Y63" s="39">
        <v>1994</v>
      </c>
      <c r="Z63" s="25">
        <v>34486</v>
      </c>
      <c r="AA63" s="19">
        <v>1995</v>
      </c>
      <c r="AB63" s="25">
        <v>34546</v>
      </c>
      <c r="AC63" s="19" t="s">
        <v>783</v>
      </c>
      <c r="AD63" s="19" t="s">
        <v>784</v>
      </c>
      <c r="AE63" s="21">
        <v>0</v>
      </c>
      <c r="AF63" s="19">
        <v>2</v>
      </c>
      <c r="AG63" s="19">
        <v>25</v>
      </c>
      <c r="AH63" s="19" t="s">
        <v>785</v>
      </c>
      <c r="AI63" s="19"/>
      <c r="AJ63" s="19"/>
      <c r="AK63" s="19"/>
      <c r="AL63" s="43" t="s">
        <v>383</v>
      </c>
      <c r="AM63" s="19">
        <v>0</v>
      </c>
      <c r="AN63" s="19" t="s">
        <v>1406</v>
      </c>
      <c r="AO63" s="19" t="s">
        <v>1531</v>
      </c>
      <c r="AP63" s="19">
        <v>1167</v>
      </c>
      <c r="AQ63" s="26">
        <f>IFERROR(PropInfo[[#This Row],[Yardi]]*1,PropInfo[[#This Row],[Yardi]])</f>
        <v>94</v>
      </c>
    </row>
    <row r="64" spans="1:43" x14ac:dyDescent="0.2">
      <c r="A64" s="43" t="s">
        <v>588</v>
      </c>
      <c r="B64" s="19" t="s">
        <v>977</v>
      </c>
      <c r="C64" s="37">
        <v>101</v>
      </c>
      <c r="D64" s="37">
        <v>125222</v>
      </c>
      <c r="E64" s="19" t="s" vm="32">
        <v>1368</v>
      </c>
      <c r="F64" s="19" t="s">
        <v>1409</v>
      </c>
      <c r="G64" s="19" t="s">
        <v>781</v>
      </c>
      <c r="H64" s="19" t="s">
        <v>977</v>
      </c>
      <c r="I64" s="19" t="s">
        <v>978</v>
      </c>
      <c r="J64" s="19" t="s">
        <v>55</v>
      </c>
      <c r="K64" s="19" t="s">
        <v>6</v>
      </c>
      <c r="L64" s="19">
        <v>90292</v>
      </c>
      <c r="M64" s="19">
        <v>33.983967</v>
      </c>
      <c r="N64" s="19">
        <v>-118.452744</v>
      </c>
      <c r="O64" s="19" t="s">
        <v>929</v>
      </c>
      <c r="P64" s="19" t="s">
        <v>1413</v>
      </c>
      <c r="Q64" s="19" t="s">
        <v>930</v>
      </c>
      <c r="R64" s="19" t="s">
        <v>21</v>
      </c>
      <c r="S64" s="19" t="s">
        <v>956</v>
      </c>
      <c r="T64" s="19" t="s">
        <v>976</v>
      </c>
      <c r="U64" s="19" t="s">
        <v>790</v>
      </c>
      <c r="V64" s="19" t="s">
        <v>782</v>
      </c>
      <c r="W64" s="20">
        <v>1</v>
      </c>
      <c r="X64" s="39">
        <v>1971</v>
      </c>
      <c r="Y64" s="39">
        <v>2004</v>
      </c>
      <c r="Z64" s="25">
        <v>38008</v>
      </c>
      <c r="AA64" s="19">
        <v>2005</v>
      </c>
      <c r="AB64" s="25">
        <v>38046</v>
      </c>
      <c r="AC64" s="19" t="s">
        <v>804</v>
      </c>
      <c r="AD64" s="19" t="s">
        <v>784</v>
      </c>
      <c r="AE64" s="21">
        <v>0</v>
      </c>
      <c r="AF64" s="19">
        <v>3</v>
      </c>
      <c r="AG64" s="19">
        <v>1</v>
      </c>
      <c r="AH64" s="19" t="s">
        <v>792</v>
      </c>
      <c r="AI64" s="19"/>
      <c r="AJ64" s="19"/>
      <c r="AK64" s="19"/>
      <c r="AL64" s="43" t="s">
        <v>588</v>
      </c>
      <c r="AM64" s="19">
        <v>0</v>
      </c>
      <c r="AN64" s="19" t="s">
        <v>1406</v>
      </c>
      <c r="AO64" s="19" t="s">
        <v>1350</v>
      </c>
      <c r="AP64" s="19">
        <v>14422</v>
      </c>
      <c r="AQ64" s="26">
        <f>IFERROR(PropInfo[[#This Row],[Yardi]]*1,PropInfo[[#This Row],[Yardi]])</f>
        <v>95</v>
      </c>
    </row>
    <row r="65" spans="1:43" x14ac:dyDescent="0.2">
      <c r="A65" s="43" t="s">
        <v>390</v>
      </c>
      <c r="B65" s="19" t="s">
        <v>1214</v>
      </c>
      <c r="C65" s="37">
        <v>303</v>
      </c>
      <c r="D65" s="37">
        <v>11990</v>
      </c>
      <c r="E65" s="19" t="s">
        <v>762</v>
      </c>
      <c r="F65" s="19" t="s">
        <v>1409</v>
      </c>
      <c r="G65" s="19" t="s">
        <v>1215</v>
      </c>
      <c r="H65" s="19" t="s">
        <v>977</v>
      </c>
      <c r="I65" s="19" t="s">
        <v>978</v>
      </c>
      <c r="J65" s="19" t="s">
        <v>55</v>
      </c>
      <c r="K65" s="19" t="s">
        <v>6</v>
      </c>
      <c r="L65" s="19">
        <v>90292</v>
      </c>
      <c r="M65" s="19">
        <v>33.983969999999999</v>
      </c>
      <c r="N65" s="19">
        <v>-118.45269999999999</v>
      </c>
      <c r="O65" s="19" t="s">
        <v>929</v>
      </c>
      <c r="P65" s="19" t="s">
        <v>1413</v>
      </c>
      <c r="Q65" s="19" t="s">
        <v>930</v>
      </c>
      <c r="R65" s="19" t="s">
        <v>21</v>
      </c>
      <c r="S65" s="19" t="s">
        <v>956</v>
      </c>
      <c r="T65" s="19" t="s">
        <v>976</v>
      </c>
      <c r="U65" s="19" t="s">
        <v>790</v>
      </c>
      <c r="V65" s="19" t="s">
        <v>782</v>
      </c>
      <c r="W65" s="20">
        <v>1</v>
      </c>
      <c r="X65" s="39">
        <v>1971</v>
      </c>
      <c r="Y65" s="39">
        <v>2004</v>
      </c>
      <c r="Z65" s="25">
        <v>38008</v>
      </c>
      <c r="AA65" s="19">
        <v>2005</v>
      </c>
      <c r="AB65" s="25">
        <v>38046</v>
      </c>
      <c r="AC65" s="19" t="s">
        <v>804</v>
      </c>
      <c r="AD65" s="19" t="s">
        <v>1216</v>
      </c>
      <c r="AE65" s="21">
        <v>0</v>
      </c>
      <c r="AF65" s="19">
        <v>0</v>
      </c>
      <c r="AG65" s="19">
        <v>0</v>
      </c>
      <c r="AH65" s="19" t="s">
        <v>792</v>
      </c>
      <c r="AI65" s="19"/>
      <c r="AJ65" s="19"/>
      <c r="AK65" s="19"/>
      <c r="AL65" s="43" t="s">
        <v>390</v>
      </c>
      <c r="AM65" s="19" t="e">
        <v>#N/A</v>
      </c>
      <c r="AN65" s="19" t="e">
        <v>#N/A</v>
      </c>
      <c r="AO65" s="19" t="s">
        <v>1350</v>
      </c>
      <c r="AP65" s="19">
        <v>0</v>
      </c>
      <c r="AQ65" s="26">
        <f>IFERROR(PropInfo[[#This Row],[Yardi]]*1,PropInfo[[#This Row],[Yardi]])</f>
        <v>96</v>
      </c>
    </row>
    <row r="66" spans="1:43" x14ac:dyDescent="0.2">
      <c r="A66" s="43" t="s">
        <v>404</v>
      </c>
      <c r="B66" s="19" t="s">
        <v>405</v>
      </c>
      <c r="C66" s="37">
        <v>282</v>
      </c>
      <c r="D66" s="37">
        <v>278000</v>
      </c>
      <c r="E66" s="19" t="s" vm="33">
        <v>1368</v>
      </c>
      <c r="F66" s="19" t="s">
        <v>1409</v>
      </c>
      <c r="G66" s="19" t="s">
        <v>781</v>
      </c>
      <c r="H66" s="19" t="s">
        <v>405</v>
      </c>
      <c r="I66" s="19" t="s">
        <v>406</v>
      </c>
      <c r="J66" s="19" t="s">
        <v>213</v>
      </c>
      <c r="K66" s="19" t="s">
        <v>6</v>
      </c>
      <c r="L66" s="19">
        <v>92057</v>
      </c>
      <c r="M66" s="19">
        <v>33.223537</v>
      </c>
      <c r="N66" s="19">
        <v>-117.319801</v>
      </c>
      <c r="O66" s="19" t="s">
        <v>929</v>
      </c>
      <c r="P66" s="19" t="s">
        <v>1415</v>
      </c>
      <c r="Q66" s="19" t="s">
        <v>1052</v>
      </c>
      <c r="R66" s="19" t="s">
        <v>39</v>
      </c>
      <c r="S66" s="19" t="s">
        <v>1056</v>
      </c>
      <c r="T66" s="19" t="s">
        <v>213</v>
      </c>
      <c r="U66" s="19" t="s">
        <v>790</v>
      </c>
      <c r="V66" s="19" t="s">
        <v>782</v>
      </c>
      <c r="W66" s="20">
        <v>1</v>
      </c>
      <c r="X66" s="39">
        <v>1984</v>
      </c>
      <c r="Y66" s="39">
        <v>2005</v>
      </c>
      <c r="Z66" s="25">
        <v>38520</v>
      </c>
      <c r="AA66" s="19">
        <v>2006</v>
      </c>
      <c r="AB66" s="25">
        <v>38564</v>
      </c>
      <c r="AC66" s="19" t="s">
        <v>783</v>
      </c>
      <c r="AD66" s="19" t="s">
        <v>784</v>
      </c>
      <c r="AE66" s="21">
        <v>282</v>
      </c>
      <c r="AF66" s="19">
        <v>3</v>
      </c>
      <c r="AG66" s="19">
        <v>29</v>
      </c>
      <c r="AH66" s="19" t="s">
        <v>809</v>
      </c>
      <c r="AI66" s="19"/>
      <c r="AJ66" s="19"/>
      <c r="AK66" s="19"/>
      <c r="AL66" s="43" t="s">
        <v>404</v>
      </c>
      <c r="AM66" s="19">
        <v>16</v>
      </c>
      <c r="AN66" s="19" t="s">
        <v>1403</v>
      </c>
      <c r="AO66" s="19" t="s">
        <v>1361</v>
      </c>
      <c r="AP66" s="19">
        <v>9541</v>
      </c>
      <c r="AQ66" s="26">
        <f>IFERROR(PropInfo[[#This Row],[Yardi]]*1,PropInfo[[#This Row],[Yardi]])</f>
        <v>100</v>
      </c>
    </row>
    <row r="67" spans="1:43" x14ac:dyDescent="0.2">
      <c r="A67" s="43" t="s">
        <v>385</v>
      </c>
      <c r="B67" s="19" t="s">
        <v>386</v>
      </c>
      <c r="C67" s="37">
        <v>105</v>
      </c>
      <c r="D67" s="37">
        <v>77254</v>
      </c>
      <c r="E67" s="19" t="s" vm="93">
        <v>1368</v>
      </c>
      <c r="F67" s="19" t="s">
        <v>1409</v>
      </c>
      <c r="G67" s="19" t="s">
        <v>781</v>
      </c>
      <c r="H67" s="19" t="s">
        <v>386</v>
      </c>
      <c r="I67" s="19" t="s">
        <v>1005</v>
      </c>
      <c r="J67" s="19" t="s">
        <v>57</v>
      </c>
      <c r="K67" s="19" t="s">
        <v>6</v>
      </c>
      <c r="L67" s="19">
        <v>93030</v>
      </c>
      <c r="M67" s="19">
        <v>34.194386000000002</v>
      </c>
      <c r="N67" s="19">
        <v>-119.18049600000001</v>
      </c>
      <c r="O67" s="19" t="s">
        <v>929</v>
      </c>
      <c r="P67" s="19" t="s">
        <v>1413</v>
      </c>
      <c r="Q67" s="19" t="s">
        <v>995</v>
      </c>
      <c r="R67" s="19" t="s">
        <v>375</v>
      </c>
      <c r="S67" s="19" t="s">
        <v>375</v>
      </c>
      <c r="T67" s="19" t="s">
        <v>57</v>
      </c>
      <c r="U67" s="19" t="s">
        <v>790</v>
      </c>
      <c r="V67" s="19" t="s">
        <v>782</v>
      </c>
      <c r="W67" s="20">
        <v>1</v>
      </c>
      <c r="X67" s="39">
        <v>1987</v>
      </c>
      <c r="Y67" s="39">
        <v>2000</v>
      </c>
      <c r="Z67" s="25">
        <v>36648</v>
      </c>
      <c r="AA67" s="19">
        <v>2001</v>
      </c>
      <c r="AB67" s="25">
        <v>36707</v>
      </c>
      <c r="AC67" s="19" t="s">
        <v>783</v>
      </c>
      <c r="AD67" s="19" t="s">
        <v>784</v>
      </c>
      <c r="AE67" s="21">
        <v>0</v>
      </c>
      <c r="AF67" s="19">
        <v>3</v>
      </c>
      <c r="AG67" s="19">
        <v>16</v>
      </c>
      <c r="AH67" s="19" t="s">
        <v>785</v>
      </c>
      <c r="AI67" s="19"/>
      <c r="AJ67" s="19"/>
      <c r="AK67" s="19"/>
      <c r="AL67" s="43" t="s">
        <v>385</v>
      </c>
      <c r="AM67" s="19">
        <v>12</v>
      </c>
      <c r="AN67" s="19" t="s">
        <v>1403</v>
      </c>
      <c r="AO67" s="19" t="s">
        <v>1363</v>
      </c>
      <c r="AP67" s="19">
        <v>8928</v>
      </c>
      <c r="AQ67" s="26">
        <f>IFERROR(PropInfo[[#This Row],[Yardi]]*1,PropInfo[[#This Row],[Yardi]])</f>
        <v>102</v>
      </c>
    </row>
    <row r="68" spans="1:43" x14ac:dyDescent="0.2">
      <c r="A68" s="43" t="s">
        <v>380</v>
      </c>
      <c r="B68" s="19" t="s">
        <v>941</v>
      </c>
      <c r="C68" s="37">
        <v>202</v>
      </c>
      <c r="D68" s="37">
        <v>122640</v>
      </c>
      <c r="E68" s="19" t="s" vm="242">
        <v>1368</v>
      </c>
      <c r="F68" s="19" t="s">
        <v>1409</v>
      </c>
      <c r="G68" s="19" t="s">
        <v>781</v>
      </c>
      <c r="H68" s="19" t="s">
        <v>941</v>
      </c>
      <c r="I68" s="19" t="s">
        <v>942</v>
      </c>
      <c r="J68" s="19" t="s">
        <v>381</v>
      </c>
      <c r="K68" s="19" t="s">
        <v>6</v>
      </c>
      <c r="L68" s="19">
        <v>90815</v>
      </c>
      <c r="M68" s="19">
        <v>33.790557999999997</v>
      </c>
      <c r="N68" s="19">
        <v>-118.14630099999999</v>
      </c>
      <c r="O68" s="19" t="s">
        <v>929</v>
      </c>
      <c r="P68" s="19" t="s">
        <v>1413</v>
      </c>
      <c r="Q68" s="19" t="s">
        <v>930</v>
      </c>
      <c r="R68" s="19" t="s">
        <v>21</v>
      </c>
      <c r="S68" s="19" t="s">
        <v>381</v>
      </c>
      <c r="T68" s="19" t="s">
        <v>381</v>
      </c>
      <c r="U68" s="19" t="s">
        <v>790</v>
      </c>
      <c r="V68" s="19" t="s">
        <v>782</v>
      </c>
      <c r="W68" s="20">
        <v>1</v>
      </c>
      <c r="X68" s="39">
        <v>1987</v>
      </c>
      <c r="Y68" s="39">
        <v>2002</v>
      </c>
      <c r="Z68" s="25">
        <v>37257</v>
      </c>
      <c r="AA68" s="19">
        <v>2003</v>
      </c>
      <c r="AB68" s="25">
        <v>37315</v>
      </c>
      <c r="AC68" s="19" t="s">
        <v>783</v>
      </c>
      <c r="AD68" s="19" t="s">
        <v>800</v>
      </c>
      <c r="AE68" s="21">
        <v>202</v>
      </c>
      <c r="AF68" s="19">
        <v>5</v>
      </c>
      <c r="AG68" s="19">
        <v>8</v>
      </c>
      <c r="AH68" s="19" t="s">
        <v>809</v>
      </c>
      <c r="AI68" s="19"/>
      <c r="AJ68" s="19"/>
      <c r="AK68" s="19"/>
      <c r="AL68" s="43" t="s">
        <v>380</v>
      </c>
      <c r="AM68" s="19">
        <v>0</v>
      </c>
      <c r="AN68" s="19" t="s">
        <v>1406</v>
      </c>
      <c r="AO68" s="19" t="s">
        <v>1359</v>
      </c>
      <c r="AP68" s="19">
        <v>13037</v>
      </c>
      <c r="AQ68" s="26">
        <f>IFERROR(PropInfo[[#This Row],[Yardi]]*1,PropInfo[[#This Row],[Yardi]])</f>
        <v>103</v>
      </c>
    </row>
    <row r="69" spans="1:43" hidden="1" x14ac:dyDescent="0.2">
      <c r="A69" s="43" t="s">
        <v>562</v>
      </c>
      <c r="B69" s="19" t="s">
        <v>1204</v>
      </c>
      <c r="C69" s="37">
        <v>2</v>
      </c>
      <c r="D69" s="37">
        <v>4006</v>
      </c>
      <c r="E69" s="19" t="s">
        <v>762</v>
      </c>
      <c r="F69" s="19" t="s">
        <v>1409</v>
      </c>
      <c r="G69" s="19" t="s">
        <v>835</v>
      </c>
      <c r="H69" s="19" t="s">
        <v>1140</v>
      </c>
      <c r="I69" s="19" t="s">
        <v>563</v>
      </c>
      <c r="J69" s="19" t="s">
        <v>26</v>
      </c>
      <c r="K69" s="19" t="s">
        <v>27</v>
      </c>
      <c r="L69" s="19">
        <v>98109</v>
      </c>
      <c r="M69" s="19">
        <v>47.622463000000003</v>
      </c>
      <c r="N69" s="19">
        <v>-122.33007000000001</v>
      </c>
      <c r="O69" s="19" t="s">
        <v>1090</v>
      </c>
      <c r="P69" s="19" t="s">
        <v>1412</v>
      </c>
      <c r="Q69" s="19" t="s">
        <v>1091</v>
      </c>
      <c r="R69" s="19" t="s">
        <v>1092</v>
      </c>
      <c r="S69" s="19" t="s">
        <v>1134</v>
      </c>
      <c r="T69" s="19" t="s">
        <v>1138</v>
      </c>
      <c r="U69" s="19" t="s">
        <v>790</v>
      </c>
      <c r="V69" s="19" t="s">
        <v>782</v>
      </c>
      <c r="W69" s="20">
        <v>1</v>
      </c>
      <c r="X69" s="39">
        <v>2006</v>
      </c>
      <c r="Y69" s="39">
        <v>2007</v>
      </c>
      <c r="Z69" s="25">
        <v>39261</v>
      </c>
      <c r="AA69" s="19">
        <v>2008</v>
      </c>
      <c r="AB69" s="25">
        <v>39264</v>
      </c>
      <c r="AC69" s="19" t="s">
        <v>804</v>
      </c>
      <c r="AD69" s="19" t="s">
        <v>800</v>
      </c>
      <c r="AE69" s="21">
        <v>0</v>
      </c>
      <c r="AF69" s="19">
        <v>7</v>
      </c>
      <c r="AG69" s="19">
        <v>1</v>
      </c>
      <c r="AH69" s="19" t="s">
        <v>792</v>
      </c>
      <c r="AI69" s="19"/>
      <c r="AJ69" s="19"/>
      <c r="AK69" s="19"/>
      <c r="AL69" s="43" t="e">
        <v>#N/A</v>
      </c>
      <c r="AM69" s="19" t="e">
        <v>#N/A</v>
      </c>
      <c r="AN69" s="19" t="e">
        <v>#N/A</v>
      </c>
      <c r="AO69" s="19" t="s">
        <v>1565</v>
      </c>
      <c r="AP69" s="19">
        <v>0</v>
      </c>
      <c r="AQ69" s="26">
        <f>IFERROR(PropInfo[[#This Row],[Yardi]]*1,PropInfo[[#This Row],[Yardi]])</f>
        <v>330</v>
      </c>
    </row>
    <row r="70" spans="1:43" x14ac:dyDescent="0.2">
      <c r="A70" s="43" t="s">
        <v>394</v>
      </c>
      <c r="B70" s="19" t="s">
        <v>395</v>
      </c>
      <c r="C70" s="37">
        <v>133</v>
      </c>
      <c r="D70" s="37">
        <v>46850</v>
      </c>
      <c r="E70" s="19" t="s" vm="36">
        <v>1368</v>
      </c>
      <c r="F70" s="19" t="s">
        <v>1409</v>
      </c>
      <c r="G70" s="19" t="s">
        <v>781</v>
      </c>
      <c r="H70" s="19" t="s">
        <v>395</v>
      </c>
      <c r="I70" s="19" t="s">
        <v>1067</v>
      </c>
      <c r="J70" s="19" t="s">
        <v>39</v>
      </c>
      <c r="K70" s="19" t="s">
        <v>6</v>
      </c>
      <c r="L70" s="19">
        <v>92117</v>
      </c>
      <c r="M70" s="19">
        <v>32.834122000000001</v>
      </c>
      <c r="N70" s="19">
        <v>-117.177696</v>
      </c>
      <c r="O70" s="19" t="s">
        <v>929</v>
      </c>
      <c r="P70" s="19" t="s">
        <v>1415</v>
      </c>
      <c r="Q70" s="19" t="s">
        <v>1052</v>
      </c>
      <c r="R70" s="19" t="s">
        <v>39</v>
      </c>
      <c r="S70" s="19" t="s">
        <v>1058</v>
      </c>
      <c r="T70" s="19" t="s">
        <v>1068</v>
      </c>
      <c r="U70" s="19" t="s">
        <v>820</v>
      </c>
      <c r="V70" s="19" t="s">
        <v>782</v>
      </c>
      <c r="W70" s="20">
        <v>1</v>
      </c>
      <c r="X70" s="39">
        <v>1963</v>
      </c>
      <c r="Y70" s="39">
        <v>2002</v>
      </c>
      <c r="Z70" s="25">
        <v>37607</v>
      </c>
      <c r="AA70" s="19">
        <v>2004</v>
      </c>
      <c r="AB70" s="25">
        <v>37652</v>
      </c>
      <c r="AC70" s="19" t="s">
        <v>783</v>
      </c>
      <c r="AD70" s="19" t="s">
        <v>784</v>
      </c>
      <c r="AE70" s="21">
        <v>0</v>
      </c>
      <c r="AF70" s="19">
        <v>2</v>
      </c>
      <c r="AG70" s="19">
        <v>15</v>
      </c>
      <c r="AH70" s="19" t="s">
        <v>785</v>
      </c>
      <c r="AI70" s="19"/>
      <c r="AJ70" s="19"/>
      <c r="AK70" s="19"/>
      <c r="AL70" s="43" t="s">
        <v>394</v>
      </c>
      <c r="AM70" s="19">
        <v>0</v>
      </c>
      <c r="AN70" s="19" t="s">
        <v>1406</v>
      </c>
      <c r="AO70" s="19" t="s">
        <v>1358</v>
      </c>
      <c r="AP70" s="19">
        <v>14388</v>
      </c>
      <c r="AQ70" s="26">
        <f>IFERROR(PropInfo[[#This Row],[Yardi]]*1,PropInfo[[#This Row],[Yardi]])</f>
        <v>106</v>
      </c>
    </row>
    <row r="71" spans="1:43" x14ac:dyDescent="0.2">
      <c r="A71" s="43" t="s">
        <v>399</v>
      </c>
      <c r="B71" s="19" t="s">
        <v>1444</v>
      </c>
      <c r="C71" s="37">
        <v>354</v>
      </c>
      <c r="D71" s="37">
        <v>262209</v>
      </c>
      <c r="E71" s="19" t="s" vm="34">
        <v>1368</v>
      </c>
      <c r="F71" s="19" t="s">
        <v>1409</v>
      </c>
      <c r="G71" s="19" t="s">
        <v>781</v>
      </c>
      <c r="H71" s="19" t="s">
        <v>1062</v>
      </c>
      <c r="I71" s="19" t="s">
        <v>400</v>
      </c>
      <c r="J71" s="19" t="s">
        <v>39</v>
      </c>
      <c r="K71" s="19" t="s">
        <v>6</v>
      </c>
      <c r="L71" s="19">
        <v>92126</v>
      </c>
      <c r="M71" s="19">
        <v>32.905678000000002</v>
      </c>
      <c r="N71" s="19">
        <v>-117.117073</v>
      </c>
      <c r="O71" s="19" t="s">
        <v>929</v>
      </c>
      <c r="P71" s="19" t="s">
        <v>1415</v>
      </c>
      <c r="Q71" s="19" t="s">
        <v>1052</v>
      </c>
      <c r="R71" s="19" t="s">
        <v>39</v>
      </c>
      <c r="S71" s="19" t="s">
        <v>1058</v>
      </c>
      <c r="T71" s="19" t="s">
        <v>1059</v>
      </c>
      <c r="U71" s="19" t="s">
        <v>820</v>
      </c>
      <c r="V71" s="19" t="s">
        <v>782</v>
      </c>
      <c r="W71" s="20">
        <v>1</v>
      </c>
      <c r="X71" s="39">
        <v>1982</v>
      </c>
      <c r="Y71" s="39">
        <v>2002</v>
      </c>
      <c r="Z71" s="25">
        <v>37607</v>
      </c>
      <c r="AA71" s="19">
        <v>2004</v>
      </c>
      <c r="AB71" s="25">
        <v>37652</v>
      </c>
      <c r="AC71" s="19" t="s">
        <v>783</v>
      </c>
      <c r="AD71" s="19" t="s">
        <v>784</v>
      </c>
      <c r="AE71" s="21">
        <v>0</v>
      </c>
      <c r="AF71" s="19">
        <v>3</v>
      </c>
      <c r="AG71" s="19">
        <v>7</v>
      </c>
      <c r="AH71" s="19" t="s">
        <v>785</v>
      </c>
      <c r="AI71" s="19"/>
      <c r="AJ71" s="19"/>
      <c r="AK71" s="19"/>
      <c r="AL71" s="43" t="s">
        <v>399</v>
      </c>
      <c r="AM71" s="19">
        <v>0</v>
      </c>
      <c r="AN71" s="19" t="s">
        <v>1406</v>
      </c>
      <c r="AO71" s="19" t="s">
        <v>1356</v>
      </c>
      <c r="AP71" s="19">
        <v>10163</v>
      </c>
      <c r="AQ71" s="26">
        <f>IFERROR(PropInfo[[#This Row],[Yardi]]*1,PropInfo[[#This Row],[Yardi]])</f>
        <v>108</v>
      </c>
    </row>
    <row r="72" spans="1:43" x14ac:dyDescent="0.2">
      <c r="A72" s="43" t="s">
        <v>416</v>
      </c>
      <c r="B72" s="19" t="s">
        <v>1425</v>
      </c>
      <c r="C72" s="37">
        <v>390</v>
      </c>
      <c r="D72" s="37">
        <v>295440</v>
      </c>
      <c r="E72" s="19" t="s" vm="95">
        <v>1368</v>
      </c>
      <c r="F72" s="19" t="s">
        <v>1409</v>
      </c>
      <c r="G72" s="19" t="s">
        <v>781</v>
      </c>
      <c r="H72" s="19" t="s">
        <v>1425</v>
      </c>
      <c r="I72" s="19" t="s">
        <v>849</v>
      </c>
      <c r="J72" s="19" t="s">
        <v>138</v>
      </c>
      <c r="K72" s="19" t="s">
        <v>6</v>
      </c>
      <c r="L72" s="19">
        <v>94085</v>
      </c>
      <c r="M72" s="19">
        <v>37.386966999999999</v>
      </c>
      <c r="N72" s="19">
        <v>-122.02979999999999</v>
      </c>
      <c r="O72" s="19" t="s">
        <v>786</v>
      </c>
      <c r="P72" s="19" t="s">
        <v>1414</v>
      </c>
      <c r="Q72" s="19" t="s">
        <v>787</v>
      </c>
      <c r="R72" s="19" t="s">
        <v>5</v>
      </c>
      <c r="S72" s="19" t="s">
        <v>788</v>
      </c>
      <c r="T72" s="19" t="s">
        <v>843</v>
      </c>
      <c r="U72" s="19" t="s">
        <v>790</v>
      </c>
      <c r="V72" s="19" t="s">
        <v>782</v>
      </c>
      <c r="W72" s="20">
        <v>1</v>
      </c>
      <c r="X72" s="39">
        <v>1973</v>
      </c>
      <c r="Y72" s="39">
        <v>1988</v>
      </c>
      <c r="Z72" s="25">
        <v>32478</v>
      </c>
      <c r="AA72" s="19">
        <v>1989</v>
      </c>
      <c r="AB72" s="25">
        <v>32539</v>
      </c>
      <c r="AC72" s="19" t="s">
        <v>783</v>
      </c>
      <c r="AD72" s="19" t="s">
        <v>784</v>
      </c>
      <c r="AE72" s="21">
        <v>0</v>
      </c>
      <c r="AF72" s="19">
        <v>3</v>
      </c>
      <c r="AG72" s="19">
        <v>24</v>
      </c>
      <c r="AH72" s="19" t="s">
        <v>792</v>
      </c>
      <c r="AI72" s="19"/>
      <c r="AJ72" s="19"/>
      <c r="AK72" s="19"/>
      <c r="AL72" s="43" t="s">
        <v>416</v>
      </c>
      <c r="AM72" s="19">
        <v>24</v>
      </c>
      <c r="AN72" s="19" t="s">
        <v>1403</v>
      </c>
      <c r="AO72" s="19" t="s">
        <v>1527</v>
      </c>
      <c r="AP72" s="19">
        <v>1170</v>
      </c>
      <c r="AQ72" s="26">
        <f>IFERROR(PropInfo[[#This Row],[Yardi]]*1,PropInfo[[#This Row],[Yardi]])</f>
        <v>109</v>
      </c>
    </row>
    <row r="73" spans="1:43" x14ac:dyDescent="0.2">
      <c r="A73" s="43" t="s">
        <v>462</v>
      </c>
      <c r="B73" s="19" t="s">
        <v>943</v>
      </c>
      <c r="C73" s="37">
        <v>296</v>
      </c>
      <c r="D73" s="37">
        <v>197756</v>
      </c>
      <c r="E73" s="19" t="s" vm="194">
        <v>1368</v>
      </c>
      <c r="F73" s="19" t="s">
        <v>1409</v>
      </c>
      <c r="G73" s="19" t="s">
        <v>781</v>
      </c>
      <c r="H73" s="19" t="s">
        <v>943</v>
      </c>
      <c r="I73" s="19" t="s">
        <v>463</v>
      </c>
      <c r="J73" s="19" t="s">
        <v>381</v>
      </c>
      <c r="K73" s="19" t="s">
        <v>6</v>
      </c>
      <c r="L73" s="19">
        <v>90803</v>
      </c>
      <c r="M73" s="19">
        <v>33.771087999999999</v>
      </c>
      <c r="N73" s="19">
        <v>-118.11657700000001</v>
      </c>
      <c r="O73" s="19" t="s">
        <v>929</v>
      </c>
      <c r="P73" s="19" t="s">
        <v>1413</v>
      </c>
      <c r="Q73" s="19" t="s">
        <v>930</v>
      </c>
      <c r="R73" s="19" t="s">
        <v>21</v>
      </c>
      <c r="S73" s="19" t="s">
        <v>381</v>
      </c>
      <c r="T73" s="19" t="s">
        <v>381</v>
      </c>
      <c r="U73" s="19" t="s">
        <v>790</v>
      </c>
      <c r="V73" s="19" t="s">
        <v>782</v>
      </c>
      <c r="W73" s="20">
        <v>1</v>
      </c>
      <c r="X73" s="39">
        <v>1975</v>
      </c>
      <c r="Y73" s="39">
        <v>1991</v>
      </c>
      <c r="Z73" s="25">
        <v>33270</v>
      </c>
      <c r="AA73" s="19">
        <v>1992</v>
      </c>
      <c r="AB73" s="25">
        <v>33328</v>
      </c>
      <c r="AC73" s="19" t="s">
        <v>783</v>
      </c>
      <c r="AD73" s="19" t="s">
        <v>784</v>
      </c>
      <c r="AE73" s="21">
        <v>296</v>
      </c>
      <c r="AF73" s="19">
        <v>2</v>
      </c>
      <c r="AG73" s="19">
        <v>17</v>
      </c>
      <c r="AH73" s="19" t="s">
        <v>809</v>
      </c>
      <c r="AI73" s="19"/>
      <c r="AJ73" s="19"/>
      <c r="AK73" s="19"/>
      <c r="AL73" s="43" t="s">
        <v>462</v>
      </c>
      <c r="AM73" s="19">
        <v>0</v>
      </c>
      <c r="AN73" s="19" t="s">
        <v>1406</v>
      </c>
      <c r="AO73" s="19" t="s">
        <v>1359</v>
      </c>
      <c r="AP73" s="19">
        <v>1172</v>
      </c>
      <c r="AQ73" s="26">
        <f>IFERROR(PropInfo[[#This Row],[Yardi]]*1,PropInfo[[#This Row],[Yardi]])</f>
        <v>110</v>
      </c>
    </row>
    <row r="74" spans="1:43" x14ac:dyDescent="0.2">
      <c r="A74" s="43" t="s">
        <v>450</v>
      </c>
      <c r="B74" s="19" t="s">
        <v>1111</v>
      </c>
      <c r="C74" s="37">
        <v>245</v>
      </c>
      <c r="D74" s="37">
        <v>277530</v>
      </c>
      <c r="E74" s="19" t="s" vm="38">
        <v>1368</v>
      </c>
      <c r="F74" s="19" t="s">
        <v>1409</v>
      </c>
      <c r="G74" s="19" t="s">
        <v>781</v>
      </c>
      <c r="H74" s="19" t="s">
        <v>1111</v>
      </c>
      <c r="I74" s="19" t="s">
        <v>451</v>
      </c>
      <c r="J74" s="19" t="s">
        <v>333</v>
      </c>
      <c r="K74" s="19" t="s">
        <v>27</v>
      </c>
      <c r="L74" s="19">
        <v>98029</v>
      </c>
      <c r="M74" s="19">
        <v>47.551974999999999</v>
      </c>
      <c r="N74" s="19">
        <v>-122.038246</v>
      </c>
      <c r="O74" s="19" t="s">
        <v>1090</v>
      </c>
      <c r="P74" s="19" t="s">
        <v>1412</v>
      </c>
      <c r="Q74" s="19" t="s">
        <v>1091</v>
      </c>
      <c r="R74" s="19" t="s">
        <v>1092</v>
      </c>
      <c r="S74" s="19" t="s">
        <v>1093</v>
      </c>
      <c r="T74" s="19" t="s">
        <v>1100</v>
      </c>
      <c r="U74" s="19" t="s">
        <v>779</v>
      </c>
      <c r="V74" s="19" t="s">
        <v>782</v>
      </c>
      <c r="W74" s="20">
        <v>1</v>
      </c>
      <c r="X74" s="39">
        <v>1999</v>
      </c>
      <c r="Y74" s="39">
        <v>1999</v>
      </c>
      <c r="Z74" s="25">
        <v>38259</v>
      </c>
      <c r="AA74" s="19">
        <v>2005</v>
      </c>
      <c r="AB74" s="25">
        <v>38291</v>
      </c>
      <c r="AC74" s="19" t="s">
        <v>783</v>
      </c>
      <c r="AD74" s="19" t="s">
        <v>784</v>
      </c>
      <c r="AE74" s="21" t="s">
        <v>1494</v>
      </c>
      <c r="AF74" s="19">
        <v>3</v>
      </c>
      <c r="AG74" s="19">
        <v>12</v>
      </c>
      <c r="AH74" s="19" t="s">
        <v>792</v>
      </c>
      <c r="AI74" s="19"/>
      <c r="AJ74" s="19"/>
      <c r="AK74" s="19"/>
      <c r="AL74" s="43" t="s">
        <v>450</v>
      </c>
      <c r="AM74" s="19">
        <v>0</v>
      </c>
      <c r="AN74" s="19" t="s">
        <v>1406</v>
      </c>
      <c r="AO74" s="19" t="s">
        <v>1353</v>
      </c>
      <c r="AP74" s="19">
        <v>11029</v>
      </c>
      <c r="AQ74" s="26">
        <f>IFERROR(PropInfo[[#This Row],[Yardi]]*1,PropInfo[[#This Row],[Yardi]])</f>
        <v>111</v>
      </c>
    </row>
    <row r="75" spans="1:43" x14ac:dyDescent="0.2">
      <c r="A75" s="43" t="s">
        <v>468</v>
      </c>
      <c r="B75" s="19" t="s">
        <v>1012</v>
      </c>
      <c r="C75" s="37">
        <v>28</v>
      </c>
      <c r="D75" s="37">
        <v>21196</v>
      </c>
      <c r="E75" s="19" t="s" vm="35">
        <v>1368</v>
      </c>
      <c r="F75" s="19" t="s">
        <v>1409</v>
      </c>
      <c r="G75" s="19" t="s">
        <v>781</v>
      </c>
      <c r="H75" s="19" t="s">
        <v>1012</v>
      </c>
      <c r="I75" s="19" t="s">
        <v>469</v>
      </c>
      <c r="J75" s="19" t="s">
        <v>375</v>
      </c>
      <c r="K75" s="19" t="s">
        <v>6</v>
      </c>
      <c r="L75" s="19">
        <v>93003</v>
      </c>
      <c r="M75" s="19">
        <v>34.273539999999997</v>
      </c>
      <c r="N75" s="19">
        <v>-119.241158</v>
      </c>
      <c r="O75" s="19" t="s">
        <v>929</v>
      </c>
      <c r="P75" s="19" t="s">
        <v>1413</v>
      </c>
      <c r="Q75" s="19" t="s">
        <v>995</v>
      </c>
      <c r="R75" s="19" t="s">
        <v>375</v>
      </c>
      <c r="S75" s="19" t="s">
        <v>375</v>
      </c>
      <c r="T75" s="19" t="s">
        <v>375</v>
      </c>
      <c r="U75" s="19" t="s">
        <v>790</v>
      </c>
      <c r="V75" s="19" t="s">
        <v>782</v>
      </c>
      <c r="W75" s="20">
        <v>1</v>
      </c>
      <c r="X75" s="39">
        <v>1973</v>
      </c>
      <c r="Y75" s="39">
        <v>2004</v>
      </c>
      <c r="Z75" s="25">
        <v>38336</v>
      </c>
      <c r="AA75" s="19">
        <v>2005</v>
      </c>
      <c r="AB75" s="25">
        <v>38383</v>
      </c>
      <c r="AC75" s="19" t="s">
        <v>783</v>
      </c>
      <c r="AD75" s="19" t="s">
        <v>784</v>
      </c>
      <c r="AE75" s="21">
        <v>0</v>
      </c>
      <c r="AF75" s="19">
        <v>2</v>
      </c>
      <c r="AG75" s="19">
        <v>3</v>
      </c>
      <c r="AH75" s="19" t="s">
        <v>870</v>
      </c>
      <c r="AI75" s="19"/>
      <c r="AJ75" s="19"/>
      <c r="AK75" s="19"/>
      <c r="AL75" s="43" t="s">
        <v>468</v>
      </c>
      <c r="AM75" s="19">
        <v>11</v>
      </c>
      <c r="AN75" s="19" t="s">
        <v>1403</v>
      </c>
      <c r="AO75" s="19" t="s">
        <v>1532</v>
      </c>
      <c r="AP75" s="19">
        <v>16876</v>
      </c>
      <c r="AQ75" s="26">
        <f>IFERROR(PropInfo[[#This Row],[Yardi]]*1,PropInfo[[#This Row],[Yardi]])</f>
        <v>112</v>
      </c>
    </row>
    <row r="76" spans="1:43" x14ac:dyDescent="0.2">
      <c r="A76" s="43" t="s">
        <v>14</v>
      </c>
      <c r="B76" s="19" t="s">
        <v>15</v>
      </c>
      <c r="C76" s="37">
        <v>115</v>
      </c>
      <c r="D76" s="37">
        <v>126767</v>
      </c>
      <c r="E76" s="19" t="s" vm="97">
        <v>1368</v>
      </c>
      <c r="F76" s="19" t="s">
        <v>1409</v>
      </c>
      <c r="G76" s="19" t="s">
        <v>781</v>
      </c>
      <c r="H76" s="19" t="s">
        <v>15</v>
      </c>
      <c r="I76" s="19" t="s">
        <v>938</v>
      </c>
      <c r="J76" s="19" t="s">
        <v>16</v>
      </c>
      <c r="K76" s="19" t="s">
        <v>6</v>
      </c>
      <c r="L76" s="19">
        <v>91205</v>
      </c>
      <c r="M76" s="19">
        <v>34.146278000000002</v>
      </c>
      <c r="N76" s="19">
        <v>-118.251099</v>
      </c>
      <c r="O76" s="19" t="s">
        <v>929</v>
      </c>
      <c r="P76" s="19" t="s">
        <v>1413</v>
      </c>
      <c r="Q76" s="19" t="s">
        <v>930</v>
      </c>
      <c r="R76" s="19" t="s">
        <v>21</v>
      </c>
      <c r="S76" s="19" t="s">
        <v>931</v>
      </c>
      <c r="T76" s="19" t="s">
        <v>932</v>
      </c>
      <c r="U76" s="19" t="s">
        <v>790</v>
      </c>
      <c r="V76" s="19" t="s">
        <v>782</v>
      </c>
      <c r="W76" s="20">
        <v>1</v>
      </c>
      <c r="X76" s="39">
        <v>2009</v>
      </c>
      <c r="Y76" s="39">
        <v>2010</v>
      </c>
      <c r="Z76" s="25">
        <v>40532</v>
      </c>
      <c r="AA76" s="19">
        <v>2012</v>
      </c>
      <c r="AB76" s="25">
        <v>40634</v>
      </c>
      <c r="AC76" s="19" t="s">
        <v>804</v>
      </c>
      <c r="AD76" s="19" t="s">
        <v>800</v>
      </c>
      <c r="AE76" s="21">
        <v>115</v>
      </c>
      <c r="AF76" s="19">
        <v>5</v>
      </c>
      <c r="AG76" s="19">
        <v>1</v>
      </c>
      <c r="AH76" s="19" t="s">
        <v>809</v>
      </c>
      <c r="AI76" s="19"/>
      <c r="AJ76" s="19"/>
      <c r="AK76" s="19"/>
      <c r="AL76" s="43" t="s">
        <v>14</v>
      </c>
      <c r="AM76" s="19">
        <v>0</v>
      </c>
      <c r="AN76" s="19" t="s">
        <v>1406</v>
      </c>
      <c r="AO76" s="19" t="s">
        <v>1589</v>
      </c>
      <c r="AP76" s="19">
        <v>34967</v>
      </c>
      <c r="AQ76" s="26">
        <f>IFERROR(PropInfo[[#This Row],[Yardi]]*1,PropInfo[[#This Row],[Yardi]])</f>
        <v>113</v>
      </c>
    </row>
    <row r="77" spans="1:43" x14ac:dyDescent="0.2">
      <c r="A77" s="43" t="s">
        <v>107</v>
      </c>
      <c r="B77" s="19" t="s">
        <v>1438</v>
      </c>
      <c r="C77" s="37">
        <v>63</v>
      </c>
      <c r="D77" s="37">
        <v>43131</v>
      </c>
      <c r="E77" s="19" t="s" vm="193">
        <v>1368</v>
      </c>
      <c r="F77" s="19" t="s">
        <v>1409</v>
      </c>
      <c r="G77" s="19" t="s">
        <v>781</v>
      </c>
      <c r="H77" s="19" t="s">
        <v>1144</v>
      </c>
      <c r="I77" s="19" t="s">
        <v>1145</v>
      </c>
      <c r="J77" s="19" t="s">
        <v>26</v>
      </c>
      <c r="K77" s="19" t="s">
        <v>27</v>
      </c>
      <c r="L77" s="19">
        <v>98109</v>
      </c>
      <c r="M77" s="19">
        <v>47.619098999999999</v>
      </c>
      <c r="N77" s="19">
        <v>-122.35451500000001</v>
      </c>
      <c r="O77" s="19" t="s">
        <v>1090</v>
      </c>
      <c r="P77" s="19" t="s">
        <v>1412</v>
      </c>
      <c r="Q77" s="19" t="s">
        <v>1091</v>
      </c>
      <c r="R77" s="19" t="s">
        <v>1092</v>
      </c>
      <c r="S77" s="19" t="s">
        <v>1134</v>
      </c>
      <c r="T77" s="19" t="s">
        <v>1138</v>
      </c>
      <c r="U77" s="19" t="s">
        <v>790</v>
      </c>
      <c r="V77" s="19" t="s">
        <v>782</v>
      </c>
      <c r="W77" s="20">
        <v>1</v>
      </c>
      <c r="X77" s="39">
        <v>2008</v>
      </c>
      <c r="Y77" s="39">
        <v>2011</v>
      </c>
      <c r="Z77" s="25">
        <v>40788</v>
      </c>
      <c r="AA77" s="19">
        <v>2012</v>
      </c>
      <c r="AB77" s="25">
        <v>40817</v>
      </c>
      <c r="AC77" s="19" t="s">
        <v>783</v>
      </c>
      <c r="AD77" s="19" t="s">
        <v>800</v>
      </c>
      <c r="AE77" s="21" t="s">
        <v>1494</v>
      </c>
      <c r="AF77" s="19">
        <v>6</v>
      </c>
      <c r="AG77" s="19">
        <v>1</v>
      </c>
      <c r="AH77" s="19" t="s">
        <v>809</v>
      </c>
      <c r="AI77" s="19"/>
      <c r="AJ77" s="19"/>
      <c r="AK77" s="19"/>
      <c r="AL77" s="43" t="s">
        <v>107</v>
      </c>
      <c r="AM77" s="19">
        <v>33</v>
      </c>
      <c r="AN77" s="19" t="s">
        <v>1403</v>
      </c>
      <c r="AO77" s="19" t="s">
        <v>1365</v>
      </c>
      <c r="AP77" s="19">
        <v>38610</v>
      </c>
      <c r="AQ77" s="26">
        <f>IFERROR(PropInfo[[#This Row],[Yardi]]*1,PropInfo[[#This Row],[Yardi]])</f>
        <v>115</v>
      </c>
    </row>
    <row r="78" spans="1:43" x14ac:dyDescent="0.2">
      <c r="A78" s="43" t="s">
        <v>372</v>
      </c>
      <c r="B78" s="19" t="s">
        <v>1426</v>
      </c>
      <c r="C78" s="37">
        <v>140</v>
      </c>
      <c r="D78" s="37">
        <v>118300</v>
      </c>
      <c r="E78" s="19" t="s" vm="39">
        <v>1368</v>
      </c>
      <c r="F78" s="19" t="s">
        <v>1409</v>
      </c>
      <c r="G78" s="19" t="s">
        <v>781</v>
      </c>
      <c r="H78" s="19" t="s">
        <v>1426</v>
      </c>
      <c r="I78" s="19" t="s">
        <v>840</v>
      </c>
      <c r="J78" s="19" t="s">
        <v>5</v>
      </c>
      <c r="K78" s="19" t="s">
        <v>6</v>
      </c>
      <c r="L78" s="19">
        <v>95050</v>
      </c>
      <c r="M78" s="19">
        <v>37.336993999999997</v>
      </c>
      <c r="N78" s="19">
        <v>-121.95064499999999</v>
      </c>
      <c r="O78" s="19" t="s">
        <v>786</v>
      </c>
      <c r="P78" s="19" t="s">
        <v>1414</v>
      </c>
      <c r="Q78" s="19" t="s">
        <v>787</v>
      </c>
      <c r="R78" s="19" t="s">
        <v>5</v>
      </c>
      <c r="S78" s="19" t="s">
        <v>788</v>
      </c>
      <c r="T78" s="19" t="s">
        <v>5</v>
      </c>
      <c r="U78" s="19" t="s">
        <v>790</v>
      </c>
      <c r="V78" s="19" t="s">
        <v>782</v>
      </c>
      <c r="W78" s="20">
        <v>1</v>
      </c>
      <c r="X78" s="39">
        <v>1975</v>
      </c>
      <c r="Y78" s="39">
        <v>1994</v>
      </c>
      <c r="Z78" s="25">
        <v>34366</v>
      </c>
      <c r="AA78" s="19">
        <v>1995</v>
      </c>
      <c r="AB78" s="25">
        <v>34424</v>
      </c>
      <c r="AC78" s="19" t="s">
        <v>783</v>
      </c>
      <c r="AD78" s="19" t="s">
        <v>784</v>
      </c>
      <c r="AE78" s="21">
        <v>0</v>
      </c>
      <c r="AF78" s="19">
        <v>2</v>
      </c>
      <c r="AG78" s="19">
        <v>13</v>
      </c>
      <c r="AH78" s="19" t="s">
        <v>785</v>
      </c>
      <c r="AI78" s="19"/>
      <c r="AJ78" s="19"/>
      <c r="AK78" s="19"/>
      <c r="AL78" s="43" t="s">
        <v>372</v>
      </c>
      <c r="AM78" s="19">
        <v>0</v>
      </c>
      <c r="AN78" s="19" t="s">
        <v>1406</v>
      </c>
      <c r="AO78" s="19" t="s">
        <v>1525</v>
      </c>
      <c r="AP78" s="19">
        <v>1173</v>
      </c>
      <c r="AQ78" s="26">
        <f>IFERROR(PropInfo[[#This Row],[Yardi]]*1,PropInfo[[#This Row],[Yardi]])</f>
        <v>116</v>
      </c>
    </row>
    <row r="79" spans="1:43" x14ac:dyDescent="0.2">
      <c r="A79" s="43" t="s">
        <v>402</v>
      </c>
      <c r="B79" s="19" t="s">
        <v>403</v>
      </c>
      <c r="C79" s="37">
        <v>236</v>
      </c>
      <c r="D79" s="37">
        <v>208966</v>
      </c>
      <c r="E79" s="19" t="s" vm="37">
        <v>1368</v>
      </c>
      <c r="F79" s="19" t="s">
        <v>1409</v>
      </c>
      <c r="G79" s="19" t="s">
        <v>781</v>
      </c>
      <c r="H79" s="19" t="s">
        <v>403</v>
      </c>
      <c r="I79" s="19" t="s">
        <v>962</v>
      </c>
      <c r="J79" s="19" t="s">
        <v>21</v>
      </c>
      <c r="K79" s="19" t="s">
        <v>6</v>
      </c>
      <c r="L79" s="19">
        <v>90036</v>
      </c>
      <c r="M79" s="19">
        <v>34.064404000000003</v>
      </c>
      <c r="N79" s="19">
        <v>-118.346901</v>
      </c>
      <c r="O79" s="19" t="s">
        <v>929</v>
      </c>
      <c r="P79" s="19" t="s">
        <v>1413</v>
      </c>
      <c r="Q79" s="19" t="s">
        <v>930</v>
      </c>
      <c r="R79" s="19" t="s">
        <v>21</v>
      </c>
      <c r="S79" s="19" t="s">
        <v>956</v>
      </c>
      <c r="T79" s="19" t="s">
        <v>960</v>
      </c>
      <c r="U79" s="19" t="s">
        <v>790</v>
      </c>
      <c r="V79" s="19" t="s">
        <v>782</v>
      </c>
      <c r="W79" s="20">
        <v>1</v>
      </c>
      <c r="X79" s="39">
        <v>1991</v>
      </c>
      <c r="Y79" s="39">
        <v>1997</v>
      </c>
      <c r="Z79" s="25">
        <v>36280</v>
      </c>
      <c r="AA79" s="19">
        <v>2000</v>
      </c>
      <c r="AB79" s="25">
        <v>36311</v>
      </c>
      <c r="AC79" s="19" t="s">
        <v>783</v>
      </c>
      <c r="AD79" s="19" t="s">
        <v>800</v>
      </c>
      <c r="AE79" s="21">
        <v>0</v>
      </c>
      <c r="AF79" s="19">
        <v>5</v>
      </c>
      <c r="AG79" s="19">
        <v>4</v>
      </c>
      <c r="AH79" s="19" t="s">
        <v>792</v>
      </c>
      <c r="AI79" s="19"/>
      <c r="AJ79" s="19"/>
      <c r="AK79" s="19"/>
      <c r="AL79" s="43" t="s">
        <v>402</v>
      </c>
      <c r="AM79" s="19">
        <v>40</v>
      </c>
      <c r="AN79" s="19" t="s">
        <v>1403</v>
      </c>
      <c r="AO79" s="19" t="s">
        <v>1360</v>
      </c>
      <c r="AP79" s="19" t="s">
        <v>1510</v>
      </c>
      <c r="AQ79" s="26">
        <f>IFERROR(PropInfo[[#This Row],[Yardi]]*1,PropInfo[[#This Row],[Yardi]])</f>
        <v>117</v>
      </c>
    </row>
    <row r="80" spans="1:43" x14ac:dyDescent="0.2">
      <c r="A80" s="43" t="s">
        <v>454</v>
      </c>
      <c r="B80" s="19" t="s">
        <v>455</v>
      </c>
      <c r="C80" s="37">
        <v>126</v>
      </c>
      <c r="D80" s="37">
        <v>90060</v>
      </c>
      <c r="E80" s="19" t="s" vm="98">
        <v>1368</v>
      </c>
      <c r="F80" s="19" t="s">
        <v>1409</v>
      </c>
      <c r="G80" s="19" t="s">
        <v>781</v>
      </c>
      <c r="H80" s="19" t="s">
        <v>455</v>
      </c>
      <c r="I80" s="19" t="s">
        <v>456</v>
      </c>
      <c r="J80" s="19" t="s">
        <v>106</v>
      </c>
      <c r="K80" s="19" t="s">
        <v>6</v>
      </c>
      <c r="L80" s="19">
        <v>94122</v>
      </c>
      <c r="M80" s="19">
        <v>37.765289000000003</v>
      </c>
      <c r="N80" s="19">
        <v>-122.471107</v>
      </c>
      <c r="O80" s="19" t="s">
        <v>786</v>
      </c>
      <c r="P80" s="19" t="s">
        <v>1414</v>
      </c>
      <c r="Q80" s="19" t="s">
        <v>893</v>
      </c>
      <c r="R80" s="19" t="s">
        <v>106</v>
      </c>
      <c r="S80" s="19" t="s">
        <v>106</v>
      </c>
      <c r="T80" s="19" t="s">
        <v>909</v>
      </c>
      <c r="U80" s="19" t="s">
        <v>790</v>
      </c>
      <c r="V80" s="19" t="s">
        <v>782</v>
      </c>
      <c r="W80" s="20">
        <v>1</v>
      </c>
      <c r="X80" s="39">
        <v>1958</v>
      </c>
      <c r="Y80" s="39">
        <v>2012</v>
      </c>
      <c r="Z80" s="25">
        <v>41177</v>
      </c>
      <c r="AA80" s="19">
        <v>2014</v>
      </c>
      <c r="AB80" s="25">
        <v>41395</v>
      </c>
      <c r="AC80" s="19" t="s">
        <v>783</v>
      </c>
      <c r="AD80" s="19" t="s">
        <v>800</v>
      </c>
      <c r="AE80" s="21">
        <v>0</v>
      </c>
      <c r="AF80" s="19">
        <v>4</v>
      </c>
      <c r="AG80" s="19">
        <v>1</v>
      </c>
      <c r="AH80" s="19" t="s">
        <v>792</v>
      </c>
      <c r="AI80" s="19" t="s">
        <v>1384</v>
      </c>
      <c r="AJ80" s="19">
        <v>126</v>
      </c>
      <c r="AK80" s="19" t="s">
        <v>1379</v>
      </c>
      <c r="AL80" s="43" t="s">
        <v>454</v>
      </c>
      <c r="AM80" s="19">
        <v>0</v>
      </c>
      <c r="AN80" s="19" t="s">
        <v>1406</v>
      </c>
      <c r="AO80" s="19" t="s">
        <v>1533</v>
      </c>
      <c r="AP80" s="19">
        <v>49502</v>
      </c>
      <c r="AQ80" s="26">
        <f>IFERROR(PropInfo[[#This Row],[Yardi]]*1,PropInfo[[#This Row],[Yardi]])</f>
        <v>118</v>
      </c>
    </row>
    <row r="81" spans="1:43" x14ac:dyDescent="0.2">
      <c r="A81" s="43" t="s">
        <v>3</v>
      </c>
      <c r="B81" s="19" t="s">
        <v>4</v>
      </c>
      <c r="C81" s="37">
        <v>121</v>
      </c>
      <c r="D81" s="37">
        <v>128840</v>
      </c>
      <c r="E81" s="19" t="s" vm="195">
        <v>1368</v>
      </c>
      <c r="F81" s="19" t="s">
        <v>1409</v>
      </c>
      <c r="G81" s="19" t="s">
        <v>781</v>
      </c>
      <c r="H81" s="19" t="s">
        <v>4</v>
      </c>
      <c r="I81" s="19" t="s">
        <v>838</v>
      </c>
      <c r="J81" s="19" t="s">
        <v>5</v>
      </c>
      <c r="K81" s="19" t="s">
        <v>6</v>
      </c>
      <c r="L81" s="19">
        <v>95051</v>
      </c>
      <c r="M81" s="19">
        <v>37.344493999999997</v>
      </c>
      <c r="N81" s="19">
        <v>-121.978516</v>
      </c>
      <c r="O81" s="19" t="s">
        <v>786</v>
      </c>
      <c r="P81" s="19" t="s">
        <v>1414</v>
      </c>
      <c r="Q81" s="19" t="s">
        <v>787</v>
      </c>
      <c r="R81" s="19" t="s">
        <v>5</v>
      </c>
      <c r="S81" s="19" t="s">
        <v>788</v>
      </c>
      <c r="T81" s="19" t="s">
        <v>5</v>
      </c>
      <c r="U81" s="19" t="s">
        <v>790</v>
      </c>
      <c r="V81" s="19" t="s">
        <v>782</v>
      </c>
      <c r="W81" s="20">
        <v>1</v>
      </c>
      <c r="X81" s="39">
        <v>1971</v>
      </c>
      <c r="Y81" s="39">
        <v>2011</v>
      </c>
      <c r="Z81" s="25">
        <v>40632</v>
      </c>
      <c r="AA81" s="19">
        <v>2012</v>
      </c>
      <c r="AB81" s="25">
        <v>40695</v>
      </c>
      <c r="AC81" s="19" t="s">
        <v>783</v>
      </c>
      <c r="AD81" s="19" t="s">
        <v>784</v>
      </c>
      <c r="AE81" s="21">
        <v>0</v>
      </c>
      <c r="AF81" s="19">
        <v>2</v>
      </c>
      <c r="AG81" s="19">
        <v>10</v>
      </c>
      <c r="AH81" s="19" t="s">
        <v>792</v>
      </c>
      <c r="AI81" s="19"/>
      <c r="AJ81" s="19"/>
      <c r="AK81" s="19"/>
      <c r="AL81" s="43" t="s">
        <v>3</v>
      </c>
      <c r="AM81" s="19">
        <v>0</v>
      </c>
      <c r="AN81" s="19" t="s">
        <v>1406</v>
      </c>
      <c r="AO81" s="19" t="s">
        <v>1525</v>
      </c>
      <c r="AP81" s="19">
        <v>23190</v>
      </c>
      <c r="AQ81" s="26">
        <f>IFERROR(PropInfo[[#This Row],[Yardi]]*1,PropInfo[[#This Row],[Yardi]])</f>
        <v>121</v>
      </c>
    </row>
    <row r="82" spans="1:43" x14ac:dyDescent="0.2">
      <c r="A82" s="43" t="s">
        <v>583</v>
      </c>
      <c r="B82" s="19" t="s">
        <v>1036</v>
      </c>
      <c r="C82" s="37">
        <v>276</v>
      </c>
      <c r="D82" s="37">
        <v>199816</v>
      </c>
      <c r="E82" s="19" t="s" vm="41">
        <v>1368</v>
      </c>
      <c r="F82" s="19" t="s">
        <v>1409</v>
      </c>
      <c r="G82" s="19" t="s">
        <v>781</v>
      </c>
      <c r="H82" s="19" t="s">
        <v>1036</v>
      </c>
      <c r="I82" s="19" t="s">
        <v>1037</v>
      </c>
      <c r="J82" s="19" t="s">
        <v>350</v>
      </c>
      <c r="K82" s="19" t="s">
        <v>6</v>
      </c>
      <c r="L82" s="19">
        <v>92647</v>
      </c>
      <c r="M82" s="19">
        <v>33.729111000000003</v>
      </c>
      <c r="N82" s="19">
        <v>-117.982162</v>
      </c>
      <c r="O82" s="19" t="s">
        <v>929</v>
      </c>
      <c r="P82" s="19" t="s">
        <v>1415</v>
      </c>
      <c r="Q82" s="19" t="s">
        <v>1017</v>
      </c>
      <c r="R82" s="19" t="s">
        <v>510</v>
      </c>
      <c r="S82" s="19" t="s">
        <v>1018</v>
      </c>
      <c r="T82" s="19" t="s">
        <v>350</v>
      </c>
      <c r="U82" s="19" t="s">
        <v>790</v>
      </c>
      <c r="V82" s="19" t="s">
        <v>782</v>
      </c>
      <c r="W82" s="20">
        <v>1</v>
      </c>
      <c r="X82" s="39">
        <v>1975</v>
      </c>
      <c r="Y82" s="39">
        <v>2012</v>
      </c>
      <c r="Z82" s="25">
        <v>41088</v>
      </c>
      <c r="AA82" s="19">
        <v>2013</v>
      </c>
      <c r="AB82" s="25">
        <v>41091</v>
      </c>
      <c r="AC82" s="19" t="s">
        <v>783</v>
      </c>
      <c r="AD82" s="19" t="s">
        <v>784</v>
      </c>
      <c r="AE82" s="21">
        <v>0</v>
      </c>
      <c r="AF82" s="19">
        <v>2</v>
      </c>
      <c r="AG82" s="19">
        <v>26</v>
      </c>
      <c r="AH82" s="19" t="s">
        <v>785</v>
      </c>
      <c r="AI82" s="19"/>
      <c r="AJ82" s="19"/>
      <c r="AK82" s="19"/>
      <c r="AL82" s="43" t="s">
        <v>583</v>
      </c>
      <c r="AM82" s="19">
        <v>0</v>
      </c>
      <c r="AN82" s="19" t="s">
        <v>1406</v>
      </c>
      <c r="AO82" s="19" t="s">
        <v>1584</v>
      </c>
      <c r="AP82" s="19">
        <v>17793</v>
      </c>
      <c r="AQ82" s="26">
        <f>IFERROR(PropInfo[[#This Row],[Yardi]]*1,PropInfo[[#This Row],[Yardi]])</f>
        <v>123</v>
      </c>
    </row>
    <row r="83" spans="1:43" x14ac:dyDescent="0.2">
      <c r="A83" s="43" t="s">
        <v>525</v>
      </c>
      <c r="B83" s="19" t="s">
        <v>526</v>
      </c>
      <c r="C83" s="37">
        <v>432</v>
      </c>
      <c r="D83" s="37">
        <v>407646</v>
      </c>
      <c r="E83" s="19" t="s" vm="40">
        <v>1368</v>
      </c>
      <c r="F83" s="19" t="s">
        <v>1409</v>
      </c>
      <c r="G83" s="19" t="s">
        <v>781</v>
      </c>
      <c r="H83" s="19" t="s">
        <v>526</v>
      </c>
      <c r="I83" s="19" t="s">
        <v>527</v>
      </c>
      <c r="J83" s="19" t="s">
        <v>528</v>
      </c>
      <c r="K83" s="19" t="s">
        <v>6</v>
      </c>
      <c r="L83" s="19">
        <v>94806</v>
      </c>
      <c r="M83" s="19">
        <v>37.987755</v>
      </c>
      <c r="N83" s="19">
        <v>-122.336769</v>
      </c>
      <c r="O83" s="19" t="s">
        <v>786</v>
      </c>
      <c r="P83" s="19" t="s">
        <v>1414</v>
      </c>
      <c r="Q83" s="19" t="s">
        <v>853</v>
      </c>
      <c r="R83" s="19" t="s">
        <v>881</v>
      </c>
      <c r="S83" s="19" t="s">
        <v>528</v>
      </c>
      <c r="T83" s="19" t="s">
        <v>883</v>
      </c>
      <c r="U83" s="19" t="s">
        <v>779</v>
      </c>
      <c r="V83" s="19" t="s">
        <v>782</v>
      </c>
      <c r="W83" s="20">
        <v>1</v>
      </c>
      <c r="X83" s="39">
        <v>2004</v>
      </c>
      <c r="Y83" s="39">
        <v>2000</v>
      </c>
      <c r="Z83" s="25">
        <v>36749</v>
      </c>
      <c r="AA83" s="19">
        <v>2005</v>
      </c>
      <c r="AB83" s="25">
        <v>38260</v>
      </c>
      <c r="AC83" s="19" t="s">
        <v>783</v>
      </c>
      <c r="AD83" s="19" t="s">
        <v>784</v>
      </c>
      <c r="AE83" s="21">
        <v>0</v>
      </c>
      <c r="AF83" s="19">
        <v>3</v>
      </c>
      <c r="AG83" s="19">
        <v>18</v>
      </c>
      <c r="AH83" s="19" t="s">
        <v>870</v>
      </c>
      <c r="AI83" s="19"/>
      <c r="AJ83" s="19"/>
      <c r="AK83" s="19"/>
      <c r="AL83" s="43" t="s">
        <v>525</v>
      </c>
      <c r="AM83" s="19">
        <v>0</v>
      </c>
      <c r="AN83" s="19" t="s">
        <v>1406</v>
      </c>
      <c r="AO83" s="19" t="s">
        <v>1362</v>
      </c>
      <c r="AP83" s="19">
        <v>13192</v>
      </c>
      <c r="AQ83" s="26">
        <f>IFERROR(PropInfo[[#This Row],[Yardi]]*1,PropInfo[[#This Row],[Yardi]])</f>
        <v>127</v>
      </c>
    </row>
    <row r="84" spans="1:43" x14ac:dyDescent="0.2">
      <c r="A84" s="43" t="s">
        <v>417</v>
      </c>
      <c r="B84" s="19" t="s">
        <v>418</v>
      </c>
      <c r="C84" s="37">
        <v>248</v>
      </c>
      <c r="D84" s="37">
        <v>272734</v>
      </c>
      <c r="E84" s="19" t="s" vm="99">
        <v>1368</v>
      </c>
      <c r="F84" s="19" t="s">
        <v>1409</v>
      </c>
      <c r="G84" s="19" t="s">
        <v>781</v>
      </c>
      <c r="H84" s="19" t="s">
        <v>418</v>
      </c>
      <c r="I84" s="19" t="s">
        <v>1116</v>
      </c>
      <c r="J84" s="19" t="s">
        <v>61</v>
      </c>
      <c r="K84" s="19" t="s">
        <v>27</v>
      </c>
      <c r="L84" s="19">
        <v>98034</v>
      </c>
      <c r="M84" s="19">
        <v>47.707698999999998</v>
      </c>
      <c r="N84" s="19">
        <v>-122.166428</v>
      </c>
      <c r="O84" s="19" t="s">
        <v>1090</v>
      </c>
      <c r="P84" s="19" t="s">
        <v>1412</v>
      </c>
      <c r="Q84" s="19" t="s">
        <v>1091</v>
      </c>
      <c r="R84" s="19" t="s">
        <v>1092</v>
      </c>
      <c r="S84" s="19" t="s">
        <v>1093</v>
      </c>
      <c r="T84" s="19" t="s">
        <v>1108</v>
      </c>
      <c r="U84" s="19" t="s">
        <v>790</v>
      </c>
      <c r="V84" s="19" t="s">
        <v>782</v>
      </c>
      <c r="W84" s="20">
        <v>1</v>
      </c>
      <c r="X84" s="39">
        <v>1996</v>
      </c>
      <c r="Y84" s="39">
        <v>2012</v>
      </c>
      <c r="Z84" s="25">
        <v>41108</v>
      </c>
      <c r="AA84" s="19">
        <v>2013</v>
      </c>
      <c r="AB84" s="25">
        <v>41122</v>
      </c>
      <c r="AC84" s="19" t="s">
        <v>783</v>
      </c>
      <c r="AD84" s="19" t="s">
        <v>784</v>
      </c>
      <c r="AE84" s="21" t="s">
        <v>1494</v>
      </c>
      <c r="AF84" s="19">
        <v>4</v>
      </c>
      <c r="AG84" s="19">
        <v>18</v>
      </c>
      <c r="AH84" s="19" t="s">
        <v>785</v>
      </c>
      <c r="AI84" s="19"/>
      <c r="AJ84" s="19"/>
      <c r="AK84" s="19"/>
      <c r="AL84" s="43" t="s">
        <v>417</v>
      </c>
      <c r="AM84" s="19">
        <v>29</v>
      </c>
      <c r="AN84" s="19" t="s">
        <v>1403</v>
      </c>
      <c r="AO84" s="19" t="s">
        <v>1349</v>
      </c>
      <c r="AP84" s="19">
        <v>3341</v>
      </c>
      <c r="AQ84" s="26">
        <f>IFERROR(PropInfo[[#This Row],[Yardi]]*1,PropInfo[[#This Row],[Yardi]])</f>
        <v>128</v>
      </c>
    </row>
    <row r="85" spans="1:43" hidden="1" x14ac:dyDescent="0.2">
      <c r="A85" s="43" t="s">
        <v>732</v>
      </c>
      <c r="B85" s="19" t="s">
        <v>1157</v>
      </c>
      <c r="C85" s="37">
        <v>1</v>
      </c>
      <c r="D85" s="37"/>
      <c r="E85" s="19" t="s">
        <v>925</v>
      </c>
      <c r="F85" s="19" t="s">
        <v>1409</v>
      </c>
      <c r="G85" s="19" t="s">
        <v>835</v>
      </c>
      <c r="H85" s="19" t="s">
        <v>185</v>
      </c>
      <c r="I85" s="19" t="s">
        <v>186</v>
      </c>
      <c r="J85" s="19" t="s">
        <v>9</v>
      </c>
      <c r="K85" s="19" t="s">
        <v>6</v>
      </c>
      <c r="L85" s="19">
        <v>95112</v>
      </c>
      <c r="M85" s="19">
        <v>37.368003199999997</v>
      </c>
      <c r="N85" s="19">
        <v>-121.91667870000001</v>
      </c>
      <c r="O85" s="19" t="s">
        <v>786</v>
      </c>
      <c r="P85" s="19" t="s">
        <v>1414</v>
      </c>
      <c r="Q85" s="19" t="s">
        <v>787</v>
      </c>
      <c r="R85" s="19" t="s">
        <v>5</v>
      </c>
      <c r="S85" s="19" t="s">
        <v>797</v>
      </c>
      <c r="T85" s="19" t="s">
        <v>805</v>
      </c>
      <c r="U85" s="19" t="s">
        <v>779</v>
      </c>
      <c r="V85" s="19" t="s">
        <v>802</v>
      </c>
      <c r="W85" s="20">
        <v>0.5</v>
      </c>
      <c r="X85" s="39">
        <v>2017</v>
      </c>
      <c r="Y85" s="39">
        <v>2014</v>
      </c>
      <c r="Z85" s="25">
        <v>41892</v>
      </c>
      <c r="AA85" s="19">
        <v>2018</v>
      </c>
      <c r="AB85" s="25">
        <v>43040</v>
      </c>
      <c r="AC85" s="19" t="s">
        <v>804</v>
      </c>
      <c r="AD85" s="19" t="s">
        <v>808</v>
      </c>
      <c r="AE85" s="21">
        <v>0</v>
      </c>
      <c r="AF85" s="19">
        <v>12</v>
      </c>
      <c r="AG85" s="19">
        <v>2</v>
      </c>
      <c r="AH85" s="19"/>
      <c r="AI85" s="19"/>
      <c r="AJ85" s="19"/>
      <c r="AK85" s="19"/>
      <c r="AL85" s="43" t="e">
        <v>#N/A</v>
      </c>
      <c r="AM85" s="19" t="e">
        <v>#N/A</v>
      </c>
      <c r="AN85" s="19" t="e">
        <v>#N/A</v>
      </c>
      <c r="AO85" s="19" t="s">
        <v>1565</v>
      </c>
      <c r="AP85" s="19" t="e">
        <v>#N/A</v>
      </c>
      <c r="AQ85" s="26">
        <f>IFERROR(PropInfo[[#This Row],[Yardi]]*1,PropInfo[[#This Row],[Yardi]])</f>
        <v>199</v>
      </c>
    </row>
    <row r="86" spans="1:43" x14ac:dyDescent="0.2">
      <c r="A86" s="43" t="s">
        <v>553</v>
      </c>
      <c r="B86" s="19" t="s">
        <v>554</v>
      </c>
      <c r="C86" s="37">
        <v>100</v>
      </c>
      <c r="D86" s="37">
        <v>84910</v>
      </c>
      <c r="E86" s="19" t="s" vm="196">
        <v>1368</v>
      </c>
      <c r="F86" s="19" t="s">
        <v>1409</v>
      </c>
      <c r="G86" s="19" t="s">
        <v>781</v>
      </c>
      <c r="H86" s="19" t="s">
        <v>554</v>
      </c>
      <c r="I86" s="19" t="s">
        <v>850</v>
      </c>
      <c r="J86" s="19" t="s">
        <v>138</v>
      </c>
      <c r="K86" s="19" t="s">
        <v>6</v>
      </c>
      <c r="L86" s="19">
        <v>94085</v>
      </c>
      <c r="M86" s="19">
        <v>37.391002999999998</v>
      </c>
      <c r="N86" s="19">
        <v>-122.04321299999999</v>
      </c>
      <c r="O86" s="19" t="s">
        <v>786</v>
      </c>
      <c r="P86" s="19" t="s">
        <v>1414</v>
      </c>
      <c r="Q86" s="19" t="s">
        <v>787</v>
      </c>
      <c r="R86" s="19" t="s">
        <v>5</v>
      </c>
      <c r="S86" s="19" t="s">
        <v>788</v>
      </c>
      <c r="T86" s="19" t="s">
        <v>843</v>
      </c>
      <c r="U86" s="19" t="s">
        <v>790</v>
      </c>
      <c r="V86" s="19" t="s">
        <v>782</v>
      </c>
      <c r="W86" s="20">
        <v>1</v>
      </c>
      <c r="X86" s="39">
        <v>1988</v>
      </c>
      <c r="Y86" s="39">
        <v>1988</v>
      </c>
      <c r="Z86" s="25">
        <v>32387</v>
      </c>
      <c r="AA86" s="19">
        <v>1989</v>
      </c>
      <c r="AB86" s="25">
        <v>32447</v>
      </c>
      <c r="AC86" s="19" t="s">
        <v>783</v>
      </c>
      <c r="AD86" s="19" t="s">
        <v>784</v>
      </c>
      <c r="AE86" s="21">
        <v>0</v>
      </c>
      <c r="AF86" s="19">
        <v>3</v>
      </c>
      <c r="AG86" s="19">
        <v>9</v>
      </c>
      <c r="AH86" s="19" t="s">
        <v>792</v>
      </c>
      <c r="AI86" s="19"/>
      <c r="AJ86" s="19"/>
      <c r="AK86" s="19"/>
      <c r="AL86" s="43" t="s">
        <v>553</v>
      </c>
      <c r="AM86" s="19">
        <v>24</v>
      </c>
      <c r="AN86" s="19" t="s">
        <v>1403</v>
      </c>
      <c r="AO86" s="19" t="s">
        <v>1527</v>
      </c>
      <c r="AP86" s="19">
        <v>1180</v>
      </c>
      <c r="AQ86" s="26">
        <f>IFERROR(PropInfo[[#This Row],[Yardi]]*1,PropInfo[[#This Row],[Yardi]])</f>
        <v>129</v>
      </c>
    </row>
    <row r="87" spans="1:43" hidden="1" x14ac:dyDescent="0.2">
      <c r="A87" s="43" t="s">
        <v>187</v>
      </c>
      <c r="B87" s="19" t="s">
        <v>1172</v>
      </c>
      <c r="C87" s="37">
        <v>3</v>
      </c>
      <c r="D87" s="37">
        <v>8845</v>
      </c>
      <c r="E87" s="19" t="s">
        <v>762</v>
      </c>
      <c r="F87" s="19" t="s">
        <v>1409</v>
      </c>
      <c r="G87" s="19" t="s">
        <v>835</v>
      </c>
      <c r="H87" s="19" t="s">
        <v>922</v>
      </c>
      <c r="I87" s="19" t="s">
        <v>923</v>
      </c>
      <c r="J87" s="19" t="s">
        <v>188</v>
      </c>
      <c r="K87" s="19" t="s">
        <v>6</v>
      </c>
      <c r="L87" s="19">
        <v>95060</v>
      </c>
      <c r="M87" s="19">
        <v>36.964699000000003</v>
      </c>
      <c r="N87" s="19">
        <v>-122.027809</v>
      </c>
      <c r="O87" s="19" t="s">
        <v>786</v>
      </c>
      <c r="P87" s="19" t="s">
        <v>1414</v>
      </c>
      <c r="Q87" s="19" t="s">
        <v>924</v>
      </c>
      <c r="R87" s="19" t="s">
        <v>188</v>
      </c>
      <c r="S87" s="19" t="s">
        <v>188</v>
      </c>
      <c r="T87" s="19" t="s">
        <v>925</v>
      </c>
      <c r="U87" s="19" t="s">
        <v>790</v>
      </c>
      <c r="V87" s="19" t="s">
        <v>782</v>
      </c>
      <c r="W87" s="20">
        <v>1</v>
      </c>
      <c r="X87" s="39">
        <v>2002</v>
      </c>
      <c r="Y87" s="39">
        <v>2008</v>
      </c>
      <c r="Z87" s="25">
        <v>39660</v>
      </c>
      <c r="AA87" s="19">
        <v>2009</v>
      </c>
      <c r="AB87" s="25">
        <v>39692</v>
      </c>
      <c r="AC87" s="19" t="s">
        <v>804</v>
      </c>
      <c r="AD87" s="19" t="s">
        <v>784</v>
      </c>
      <c r="AE87" s="21">
        <v>0</v>
      </c>
      <c r="AF87" s="19">
        <v>3</v>
      </c>
      <c r="AG87" s="19">
        <v>9</v>
      </c>
      <c r="AH87" s="19" t="s">
        <v>870</v>
      </c>
      <c r="AI87" s="19"/>
      <c r="AJ87" s="19"/>
      <c r="AK87" s="19"/>
      <c r="AL87" s="43" t="e">
        <v>#N/A</v>
      </c>
      <c r="AM87" s="19" t="e">
        <v>#N/A</v>
      </c>
      <c r="AN87" s="19" t="e">
        <v>#N/A</v>
      </c>
      <c r="AO87" s="19" t="s">
        <v>1565</v>
      </c>
      <c r="AP87" s="19">
        <v>0</v>
      </c>
      <c r="AQ87" s="26">
        <f>IFERROR(PropInfo[[#This Row],[Yardi]]*1,PropInfo[[#This Row],[Yardi]])</f>
        <v>13</v>
      </c>
    </row>
    <row r="88" spans="1:43" hidden="1" x14ac:dyDescent="0.2">
      <c r="A88" s="43" t="s">
        <v>712</v>
      </c>
      <c r="B88" s="19" t="s">
        <v>998</v>
      </c>
      <c r="C88" s="37"/>
      <c r="D88" s="37"/>
      <c r="E88" s="19" t="s" vm="14">
        <v>1369</v>
      </c>
      <c r="F88" s="19" t="s">
        <v>1411</v>
      </c>
      <c r="G88" s="19" t="s">
        <v>781</v>
      </c>
      <c r="H88" s="19" t="s">
        <v>998</v>
      </c>
      <c r="I88" s="19" t="s">
        <v>999</v>
      </c>
      <c r="J88" s="19" t="s">
        <v>1000</v>
      </c>
      <c r="K88" s="19" t="s">
        <v>6</v>
      </c>
      <c r="L88" s="19">
        <v>93021</v>
      </c>
      <c r="M88" s="19">
        <v>34.288485999999999</v>
      </c>
      <c r="N88" s="19">
        <v>-118.884237</v>
      </c>
      <c r="O88" s="19" t="s">
        <v>929</v>
      </c>
      <c r="P88" s="19" t="s">
        <v>1413</v>
      </c>
      <c r="Q88" s="19" t="s">
        <v>995</v>
      </c>
      <c r="R88" s="19" t="s">
        <v>375</v>
      </c>
      <c r="S88" s="19" t="s">
        <v>375</v>
      </c>
      <c r="T88" s="19" t="s">
        <v>1001</v>
      </c>
      <c r="U88" s="19" t="s">
        <v>779</v>
      </c>
      <c r="V88" s="19" t="s">
        <v>817</v>
      </c>
      <c r="W88" s="20">
        <v>1</v>
      </c>
      <c r="X88" s="39"/>
      <c r="Y88" s="39"/>
      <c r="Z88" s="25" t="e">
        <v>#N/A</v>
      </c>
      <c r="AA88" s="19"/>
      <c r="AB88" s="25"/>
      <c r="AC88" s="19" t="s">
        <v>783</v>
      </c>
      <c r="AD88" s="19" t="s">
        <v>784</v>
      </c>
      <c r="AE88" s="21">
        <v>0</v>
      </c>
      <c r="AF88" s="19">
        <v>3</v>
      </c>
      <c r="AG88" s="19">
        <v>9</v>
      </c>
      <c r="AH88" s="19"/>
      <c r="AI88" s="19"/>
      <c r="AJ88" s="19"/>
      <c r="AK88" s="19"/>
      <c r="AL88" s="43" t="e">
        <v>#N/A</v>
      </c>
      <c r="AM88" s="19" t="e">
        <v>#N/A</v>
      </c>
      <c r="AN88" s="19" t="e">
        <v>#N/A</v>
      </c>
      <c r="AO88" s="19" t="s">
        <v>1565</v>
      </c>
      <c r="AP88" s="19" t="e">
        <v>#N/A</v>
      </c>
      <c r="AQ88" s="26">
        <f>IFERROR(PropInfo[[#This Row],[Yardi]]*1,PropInfo[[#This Row],[Yardi]])</f>
        <v>377</v>
      </c>
    </row>
    <row r="89" spans="1:43" hidden="1" x14ac:dyDescent="0.2">
      <c r="A89" s="43" t="s">
        <v>716</v>
      </c>
      <c r="B89" s="19" t="s">
        <v>1069</v>
      </c>
      <c r="C89" s="37"/>
      <c r="D89" s="37"/>
      <c r="E89" s="19" t="s" vm="14">
        <v>1369</v>
      </c>
      <c r="F89" s="19" t="s">
        <v>1411</v>
      </c>
      <c r="G89" s="19" t="s">
        <v>781</v>
      </c>
      <c r="H89" s="19" t="s">
        <v>1069</v>
      </c>
      <c r="I89" s="19" t="s">
        <v>1070</v>
      </c>
      <c r="J89" s="19" t="s">
        <v>39</v>
      </c>
      <c r="K89" s="19" t="s">
        <v>6</v>
      </c>
      <c r="L89" s="19">
        <v>92101</v>
      </c>
      <c r="M89" s="19">
        <v>32.719883000000003</v>
      </c>
      <c r="N89" s="19">
        <v>-117.163749</v>
      </c>
      <c r="O89" s="19" t="s">
        <v>929</v>
      </c>
      <c r="P89" s="19" t="s">
        <v>1415</v>
      </c>
      <c r="Q89" s="19" t="s">
        <v>1052</v>
      </c>
      <c r="R89" s="19" t="s">
        <v>39</v>
      </c>
      <c r="S89" s="19" t="s">
        <v>1071</v>
      </c>
      <c r="T89" s="19" t="s">
        <v>1072</v>
      </c>
      <c r="U89" s="19" t="s">
        <v>779</v>
      </c>
      <c r="V89" s="19" t="s">
        <v>782</v>
      </c>
      <c r="W89" s="20">
        <v>1</v>
      </c>
      <c r="X89" s="39"/>
      <c r="Y89" s="39"/>
      <c r="Z89" s="25" t="e">
        <v>#N/A</v>
      </c>
      <c r="AA89" s="19"/>
      <c r="AB89" s="25"/>
      <c r="AC89" s="19" t="s">
        <v>783</v>
      </c>
      <c r="AD89" s="19" t="s">
        <v>800</v>
      </c>
      <c r="AE89" s="21">
        <v>0</v>
      </c>
      <c r="AF89" s="19">
        <v>7</v>
      </c>
      <c r="AG89" s="19">
        <v>1</v>
      </c>
      <c r="AH89" s="19"/>
      <c r="AI89" s="19"/>
      <c r="AJ89" s="19"/>
      <c r="AK89" s="19"/>
      <c r="AL89" s="43" t="e">
        <v>#N/A</v>
      </c>
      <c r="AM89" s="19" t="e">
        <v>#N/A</v>
      </c>
      <c r="AN89" s="19" t="e">
        <v>#N/A</v>
      </c>
      <c r="AO89" s="19" t="s">
        <v>1565</v>
      </c>
      <c r="AP89" s="19" t="e">
        <v>#N/A</v>
      </c>
      <c r="AQ89" s="26">
        <f>IFERROR(PropInfo[[#This Row],[Yardi]]*1,PropInfo[[#This Row],[Yardi]])</f>
        <v>189</v>
      </c>
    </row>
    <row r="90" spans="1:43" x14ac:dyDescent="0.2">
      <c r="A90" s="43" t="s">
        <v>496</v>
      </c>
      <c r="B90" s="19" t="s">
        <v>497</v>
      </c>
      <c r="C90" s="37">
        <v>100</v>
      </c>
      <c r="D90" s="37">
        <v>109272</v>
      </c>
      <c r="E90" s="19" t="s" vm="42">
        <v>1368</v>
      </c>
      <c r="F90" s="19" t="s">
        <v>1409</v>
      </c>
      <c r="G90" s="19" t="s">
        <v>781</v>
      </c>
      <c r="H90" s="19" t="s">
        <v>497</v>
      </c>
      <c r="I90" s="19" t="s">
        <v>498</v>
      </c>
      <c r="J90" s="19" t="s">
        <v>138</v>
      </c>
      <c r="K90" s="19" t="s">
        <v>6</v>
      </c>
      <c r="L90" s="19">
        <v>94086</v>
      </c>
      <c r="M90" s="19">
        <v>37.366740999999998</v>
      </c>
      <c r="N90" s="19">
        <v>-122.00138099999999</v>
      </c>
      <c r="O90" s="19" t="s">
        <v>786</v>
      </c>
      <c r="P90" s="19" t="s">
        <v>1414</v>
      </c>
      <c r="Q90" s="19" t="s">
        <v>787</v>
      </c>
      <c r="R90" s="19" t="s">
        <v>5</v>
      </c>
      <c r="S90" s="19" t="s">
        <v>788</v>
      </c>
      <c r="T90" s="19" t="s">
        <v>843</v>
      </c>
      <c r="U90" s="19" t="s">
        <v>790</v>
      </c>
      <c r="V90" s="19" t="s">
        <v>782</v>
      </c>
      <c r="W90" s="20">
        <v>1</v>
      </c>
      <c r="X90" s="39">
        <v>1970</v>
      </c>
      <c r="Y90" s="39">
        <v>2012</v>
      </c>
      <c r="Z90" s="25">
        <v>40939</v>
      </c>
      <c r="AA90" s="19">
        <v>2013</v>
      </c>
      <c r="AB90" s="25">
        <v>40940</v>
      </c>
      <c r="AC90" s="19" t="s">
        <v>783</v>
      </c>
      <c r="AD90" s="19" t="s">
        <v>784</v>
      </c>
      <c r="AE90" s="21">
        <v>0</v>
      </c>
      <c r="AF90" s="19">
        <v>2</v>
      </c>
      <c r="AG90" s="19">
        <v>8</v>
      </c>
      <c r="AH90" s="19" t="s">
        <v>792</v>
      </c>
      <c r="AI90" s="19"/>
      <c r="AJ90" s="19"/>
      <c r="AK90" s="19"/>
      <c r="AL90" s="43" t="s">
        <v>496</v>
      </c>
      <c r="AM90" s="19">
        <v>0</v>
      </c>
      <c r="AN90" s="19" t="s">
        <v>1406</v>
      </c>
      <c r="AO90" s="19" t="s">
        <v>1531</v>
      </c>
      <c r="AP90" s="19">
        <v>20742</v>
      </c>
      <c r="AQ90" s="26">
        <f>IFERROR(PropInfo[[#This Row],[Yardi]]*1,PropInfo[[#This Row],[Yardi]])</f>
        <v>130</v>
      </c>
    </row>
    <row r="91" spans="1:43" x14ac:dyDescent="0.2">
      <c r="A91" s="43" t="s">
        <v>535</v>
      </c>
      <c r="B91" s="19" t="s">
        <v>536</v>
      </c>
      <c r="C91" s="37">
        <v>172</v>
      </c>
      <c r="D91" s="37">
        <v>131260</v>
      </c>
      <c r="E91" s="19" t="s" vm="43">
        <v>1368</v>
      </c>
      <c r="F91" s="19" t="s">
        <v>1409</v>
      </c>
      <c r="G91" s="19" t="s">
        <v>781</v>
      </c>
      <c r="H91" s="19" t="s">
        <v>536</v>
      </c>
      <c r="I91" s="19" t="s">
        <v>1075</v>
      </c>
      <c r="J91" s="19" t="s">
        <v>537</v>
      </c>
      <c r="K91" s="19" t="s">
        <v>6</v>
      </c>
      <c r="L91" s="19">
        <v>91977</v>
      </c>
      <c r="M91" s="19">
        <v>32.745990999999997</v>
      </c>
      <c r="N91" s="19">
        <v>-116.98580200000001</v>
      </c>
      <c r="O91" s="19" t="s">
        <v>929</v>
      </c>
      <c r="P91" s="19" t="s">
        <v>1415</v>
      </c>
      <c r="Q91" s="19" t="s">
        <v>1052</v>
      </c>
      <c r="R91" s="19" t="s">
        <v>39</v>
      </c>
      <c r="S91" s="19" t="s">
        <v>477</v>
      </c>
      <c r="T91" s="19" t="s">
        <v>1066</v>
      </c>
      <c r="U91" s="19" t="s">
        <v>820</v>
      </c>
      <c r="V91" s="19" t="s">
        <v>782</v>
      </c>
      <c r="W91" s="20">
        <v>1</v>
      </c>
      <c r="X91" s="39">
        <v>1983</v>
      </c>
      <c r="Y91" s="39">
        <v>2002</v>
      </c>
      <c r="Z91" s="25">
        <v>37607</v>
      </c>
      <c r="AA91" s="19">
        <v>2004</v>
      </c>
      <c r="AB91" s="25">
        <v>37652</v>
      </c>
      <c r="AC91" s="19" t="s">
        <v>783</v>
      </c>
      <c r="AD91" s="19" t="s">
        <v>784</v>
      </c>
      <c r="AE91" s="21">
        <v>0</v>
      </c>
      <c r="AF91" s="19">
        <v>2</v>
      </c>
      <c r="AG91" s="19">
        <v>9</v>
      </c>
      <c r="AH91" s="19" t="s">
        <v>870</v>
      </c>
      <c r="AI91" s="19"/>
      <c r="AJ91" s="19"/>
      <c r="AK91" s="19"/>
      <c r="AL91" s="43" t="s">
        <v>535</v>
      </c>
      <c r="AM91" s="19">
        <v>0</v>
      </c>
      <c r="AN91" s="19" t="s">
        <v>1406</v>
      </c>
      <c r="AO91" s="19" t="s">
        <v>1358</v>
      </c>
      <c r="AP91" s="19">
        <v>13404</v>
      </c>
      <c r="AQ91" s="26">
        <f>IFERROR(PropInfo[[#This Row],[Yardi]]*1,PropInfo[[#This Row],[Yardi]])</f>
        <v>131</v>
      </c>
    </row>
    <row r="92" spans="1:43" x14ac:dyDescent="0.2">
      <c r="A92" s="43" t="s">
        <v>555</v>
      </c>
      <c r="B92" s="19" t="s">
        <v>1064</v>
      </c>
      <c r="C92" s="37">
        <v>300</v>
      </c>
      <c r="D92" s="37">
        <v>250184</v>
      </c>
      <c r="E92" s="19" t="s" vm="100">
        <v>1368</v>
      </c>
      <c r="F92" s="19" t="s">
        <v>1409</v>
      </c>
      <c r="G92" s="19" t="s">
        <v>781</v>
      </c>
      <c r="H92" s="19" t="s">
        <v>1064</v>
      </c>
      <c r="I92" s="19" t="s">
        <v>1065</v>
      </c>
      <c r="J92" s="19" t="s">
        <v>39</v>
      </c>
      <c r="K92" s="19" t="s">
        <v>6</v>
      </c>
      <c r="L92" s="19">
        <v>92119</v>
      </c>
      <c r="M92" s="19">
        <v>32.798836000000001</v>
      </c>
      <c r="N92" s="19">
        <v>-117.013672</v>
      </c>
      <c r="O92" s="19" t="s">
        <v>929</v>
      </c>
      <c r="P92" s="19" t="s">
        <v>1415</v>
      </c>
      <c r="Q92" s="19" t="s">
        <v>1052</v>
      </c>
      <c r="R92" s="19" t="s">
        <v>39</v>
      </c>
      <c r="S92" s="19" t="s">
        <v>1058</v>
      </c>
      <c r="T92" s="19" t="s">
        <v>1066</v>
      </c>
      <c r="U92" s="19" t="s">
        <v>820</v>
      </c>
      <c r="V92" s="19" t="s">
        <v>782</v>
      </c>
      <c r="W92" s="20">
        <v>1</v>
      </c>
      <c r="X92" s="39">
        <v>1972</v>
      </c>
      <c r="Y92" s="39">
        <v>2002</v>
      </c>
      <c r="Z92" s="25">
        <v>37607</v>
      </c>
      <c r="AA92" s="19">
        <v>2004</v>
      </c>
      <c r="AB92" s="25">
        <v>37652</v>
      </c>
      <c r="AC92" s="19" t="s">
        <v>783</v>
      </c>
      <c r="AD92" s="19" t="s">
        <v>784</v>
      </c>
      <c r="AE92" s="21">
        <v>0</v>
      </c>
      <c r="AF92" s="19">
        <v>2</v>
      </c>
      <c r="AG92" s="19">
        <v>17</v>
      </c>
      <c r="AH92" s="19" t="s">
        <v>785</v>
      </c>
      <c r="AI92" s="19"/>
      <c r="AJ92" s="19"/>
      <c r="AK92" s="19"/>
      <c r="AL92" s="43" t="s">
        <v>555</v>
      </c>
      <c r="AM92" s="19">
        <v>0</v>
      </c>
      <c r="AN92" s="19" t="s">
        <v>1406</v>
      </c>
      <c r="AO92" s="19" t="s">
        <v>1356</v>
      </c>
      <c r="AP92" s="19">
        <v>9694</v>
      </c>
      <c r="AQ92" s="26">
        <f>IFERROR(PropInfo[[#This Row],[Yardi]]*1,PropInfo[[#This Row],[Yardi]])</f>
        <v>132</v>
      </c>
    </row>
    <row r="93" spans="1:43" hidden="1" x14ac:dyDescent="0.2">
      <c r="A93" s="43" t="s">
        <v>200</v>
      </c>
      <c r="B93" s="19" t="s">
        <v>201</v>
      </c>
      <c r="C93" s="37">
        <v>3</v>
      </c>
      <c r="D93" s="37">
        <v>4821</v>
      </c>
      <c r="E93" s="19" t="s">
        <v>762</v>
      </c>
      <c r="F93" s="19" t="s">
        <v>1409</v>
      </c>
      <c r="G93" s="19" t="s">
        <v>835</v>
      </c>
      <c r="H93" s="19" t="s">
        <v>199</v>
      </c>
      <c r="I93" s="19" t="s">
        <v>1141</v>
      </c>
      <c r="J93" s="19" t="s">
        <v>26</v>
      </c>
      <c r="K93" s="19" t="s">
        <v>27</v>
      </c>
      <c r="L93" s="19">
        <v>98122</v>
      </c>
      <c r="M93" s="19">
        <v>47.615397999999999</v>
      </c>
      <c r="N93" s="19">
        <v>-122.315697</v>
      </c>
      <c r="O93" s="19" t="s">
        <v>1090</v>
      </c>
      <c r="P93" s="19" t="s">
        <v>1412</v>
      </c>
      <c r="Q93" s="19" t="s">
        <v>1091</v>
      </c>
      <c r="R93" s="19" t="s">
        <v>1092</v>
      </c>
      <c r="S93" s="19" t="s">
        <v>1134</v>
      </c>
      <c r="T93" s="19" t="s">
        <v>1142</v>
      </c>
      <c r="U93" s="19" t="s">
        <v>790</v>
      </c>
      <c r="V93" s="19" t="s">
        <v>782</v>
      </c>
      <c r="W93" s="20">
        <v>1</v>
      </c>
      <c r="X93" s="39">
        <v>2013</v>
      </c>
      <c r="Y93" s="39">
        <v>2014</v>
      </c>
      <c r="Z93" s="25">
        <v>41780</v>
      </c>
      <c r="AA93" s="19">
        <v>2015</v>
      </c>
      <c r="AB93" s="25">
        <v>41791</v>
      </c>
      <c r="AC93" s="19" t="s">
        <v>804</v>
      </c>
      <c r="AD93" s="19" t="s">
        <v>800</v>
      </c>
      <c r="AE93" s="21">
        <v>0</v>
      </c>
      <c r="AF93" s="19">
        <v>6</v>
      </c>
      <c r="AG93" s="19">
        <v>1</v>
      </c>
      <c r="AH93" s="19" t="s">
        <v>792</v>
      </c>
      <c r="AI93" s="19"/>
      <c r="AJ93" s="19"/>
      <c r="AK93" s="19"/>
      <c r="AL93" s="43" t="e">
        <v>#N/A</v>
      </c>
      <c r="AM93" s="19" t="e">
        <v>#N/A</v>
      </c>
      <c r="AN93" s="19" t="e">
        <v>#N/A</v>
      </c>
      <c r="AO93" s="19" t="s">
        <v>1565</v>
      </c>
      <c r="AP93" s="19">
        <v>0</v>
      </c>
      <c r="AQ93" s="26">
        <f>IFERROR(PropInfo[[#This Row],[Yardi]]*1,PropInfo[[#This Row],[Yardi]])</f>
        <v>404</v>
      </c>
    </row>
    <row r="94" spans="1:43" x14ac:dyDescent="0.2">
      <c r="A94" s="43" t="s">
        <v>520</v>
      </c>
      <c r="B94" s="19" t="s">
        <v>1149</v>
      </c>
      <c r="C94" s="37">
        <v>132</v>
      </c>
      <c r="D94" s="37">
        <v>116465</v>
      </c>
      <c r="E94" s="19" t="s" vm="198">
        <v>1368</v>
      </c>
      <c r="F94" s="19" t="s">
        <v>1409</v>
      </c>
      <c r="G94" s="19" t="s">
        <v>781</v>
      </c>
      <c r="H94" s="19" t="s">
        <v>1149</v>
      </c>
      <c r="I94" s="19" t="s">
        <v>521</v>
      </c>
      <c r="J94" s="19" t="s">
        <v>117</v>
      </c>
      <c r="K94" s="19" t="s">
        <v>27</v>
      </c>
      <c r="L94" s="19">
        <v>98021</v>
      </c>
      <c r="M94" s="19">
        <v>47.792374000000002</v>
      </c>
      <c r="N94" s="19">
        <v>-122.203789</v>
      </c>
      <c r="O94" s="19" t="s">
        <v>1090</v>
      </c>
      <c r="P94" s="19" t="s">
        <v>1412</v>
      </c>
      <c r="Q94" s="19" t="s">
        <v>1091</v>
      </c>
      <c r="R94" s="19" t="s">
        <v>1147</v>
      </c>
      <c r="S94" s="19" t="s">
        <v>1107</v>
      </c>
      <c r="T94" s="19" t="s">
        <v>1108</v>
      </c>
      <c r="U94" s="19" t="s">
        <v>779</v>
      </c>
      <c r="V94" s="19" t="s">
        <v>782</v>
      </c>
      <c r="W94" s="20">
        <v>1</v>
      </c>
      <c r="X94" s="39">
        <v>2000</v>
      </c>
      <c r="Y94" s="39">
        <v>1998</v>
      </c>
      <c r="Z94" s="25">
        <v>36269</v>
      </c>
      <c r="AA94" s="19">
        <v>2001</v>
      </c>
      <c r="AB94" s="25">
        <v>36677</v>
      </c>
      <c r="AC94" s="19" t="s">
        <v>783</v>
      </c>
      <c r="AD94" s="19" t="s">
        <v>784</v>
      </c>
      <c r="AE94" s="21" t="s">
        <v>1494</v>
      </c>
      <c r="AF94" s="19">
        <v>3</v>
      </c>
      <c r="AG94" s="19">
        <v>10</v>
      </c>
      <c r="AH94" s="19" t="s">
        <v>785</v>
      </c>
      <c r="AI94" s="19"/>
      <c r="AJ94" s="19"/>
      <c r="AK94" s="19"/>
      <c r="AL94" s="43" t="s">
        <v>520</v>
      </c>
      <c r="AM94" s="19">
        <v>0</v>
      </c>
      <c r="AN94" s="19" t="s">
        <v>1406</v>
      </c>
      <c r="AO94" s="19" t="s">
        <v>1534</v>
      </c>
      <c r="AP94" s="19">
        <v>9864</v>
      </c>
      <c r="AQ94" s="26">
        <f>IFERROR(PropInfo[[#This Row],[Yardi]]*1,PropInfo[[#This Row],[Yardi]])</f>
        <v>133</v>
      </c>
    </row>
    <row r="95" spans="1:43" x14ac:dyDescent="0.2">
      <c r="A95" s="43" t="s">
        <v>522</v>
      </c>
      <c r="B95" s="19" t="s">
        <v>523</v>
      </c>
      <c r="C95" s="37">
        <v>153</v>
      </c>
      <c r="D95" s="37">
        <v>144984</v>
      </c>
      <c r="E95" s="19" t="s" vm="45">
        <v>1368</v>
      </c>
      <c r="F95" s="19" t="s">
        <v>1409</v>
      </c>
      <c r="G95" s="19" t="s">
        <v>781</v>
      </c>
      <c r="H95" s="19" t="s">
        <v>523</v>
      </c>
      <c r="I95" s="19" t="s">
        <v>524</v>
      </c>
      <c r="J95" s="19" t="s">
        <v>91</v>
      </c>
      <c r="K95" s="19" t="s">
        <v>27</v>
      </c>
      <c r="L95" s="19">
        <v>98008</v>
      </c>
      <c r="M95" s="19">
        <v>47.576382000000002</v>
      </c>
      <c r="N95" s="19">
        <v>-122.12484000000001</v>
      </c>
      <c r="O95" s="19" t="s">
        <v>1090</v>
      </c>
      <c r="P95" s="19" t="s">
        <v>1412</v>
      </c>
      <c r="Q95" s="19" t="s">
        <v>1091</v>
      </c>
      <c r="R95" s="19" t="s">
        <v>1092</v>
      </c>
      <c r="S95" s="19" t="s">
        <v>1093</v>
      </c>
      <c r="T95" s="19" t="s">
        <v>1100</v>
      </c>
      <c r="U95" s="19" t="s">
        <v>790</v>
      </c>
      <c r="V95" s="19" t="s">
        <v>782</v>
      </c>
      <c r="W95" s="20">
        <v>1</v>
      </c>
      <c r="X95" s="39">
        <v>1986</v>
      </c>
      <c r="Y95" s="39">
        <v>1994</v>
      </c>
      <c r="Z95" s="25">
        <v>34659</v>
      </c>
      <c r="AA95" s="19">
        <v>1995</v>
      </c>
      <c r="AB95" s="25">
        <v>34699</v>
      </c>
      <c r="AC95" s="19" t="s">
        <v>783</v>
      </c>
      <c r="AD95" s="19" t="s">
        <v>784</v>
      </c>
      <c r="AE95" s="21" t="s">
        <v>1494</v>
      </c>
      <c r="AF95" s="19">
        <v>3</v>
      </c>
      <c r="AG95" s="19">
        <v>10</v>
      </c>
      <c r="AH95" s="19" t="s">
        <v>792</v>
      </c>
      <c r="AI95" s="19"/>
      <c r="AJ95" s="19"/>
      <c r="AK95" s="19"/>
      <c r="AL95" s="43" t="s">
        <v>522</v>
      </c>
      <c r="AM95" s="19">
        <v>0</v>
      </c>
      <c r="AN95" s="19" t="s">
        <v>1406</v>
      </c>
      <c r="AO95" s="19" t="s">
        <v>1353</v>
      </c>
      <c r="AP95" s="19">
        <v>1175</v>
      </c>
      <c r="AQ95" s="26">
        <f>IFERROR(PropInfo[[#This Row],[Yardi]]*1,PropInfo[[#This Row],[Yardi]])</f>
        <v>134</v>
      </c>
    </row>
    <row r="96" spans="1:43" x14ac:dyDescent="0.2">
      <c r="A96" s="43" t="s">
        <v>551</v>
      </c>
      <c r="B96" s="19" t="s">
        <v>552</v>
      </c>
      <c r="C96" s="37">
        <v>196</v>
      </c>
      <c r="D96" s="37">
        <v>214872</v>
      </c>
      <c r="E96" s="19" t="s" vm="44">
        <v>1368</v>
      </c>
      <c r="F96" s="19" t="s">
        <v>1409</v>
      </c>
      <c r="G96" s="19" t="s">
        <v>781</v>
      </c>
      <c r="H96" s="19" t="s">
        <v>552</v>
      </c>
      <c r="I96" s="19" t="s">
        <v>1106</v>
      </c>
      <c r="J96" s="19" t="s">
        <v>117</v>
      </c>
      <c r="K96" s="19" t="s">
        <v>27</v>
      </c>
      <c r="L96" s="19">
        <v>98011</v>
      </c>
      <c r="M96" s="19">
        <v>47.736556999999998</v>
      </c>
      <c r="N96" s="19">
        <v>-122.21785</v>
      </c>
      <c r="O96" s="19" t="s">
        <v>1090</v>
      </c>
      <c r="P96" s="19" t="s">
        <v>1412</v>
      </c>
      <c r="Q96" s="19" t="s">
        <v>1091</v>
      </c>
      <c r="R96" s="19" t="s">
        <v>1092</v>
      </c>
      <c r="S96" s="19" t="s">
        <v>1093</v>
      </c>
      <c r="T96" s="19" t="s">
        <v>1108</v>
      </c>
      <c r="U96" s="19" t="s">
        <v>790</v>
      </c>
      <c r="V96" s="19" t="s">
        <v>782</v>
      </c>
      <c r="W96" s="20">
        <v>1</v>
      </c>
      <c r="X96" s="39">
        <v>1986</v>
      </c>
      <c r="Y96" s="39">
        <v>1997</v>
      </c>
      <c r="Z96" s="25">
        <v>35731</v>
      </c>
      <c r="AA96" s="19">
        <v>1998</v>
      </c>
      <c r="AB96" s="25">
        <v>35764</v>
      </c>
      <c r="AC96" s="19" t="s">
        <v>783</v>
      </c>
      <c r="AD96" s="19" t="s">
        <v>784</v>
      </c>
      <c r="AE96" s="21" t="s">
        <v>1494</v>
      </c>
      <c r="AF96" s="19">
        <v>3</v>
      </c>
      <c r="AG96" s="19">
        <v>23</v>
      </c>
      <c r="AH96" s="19" t="s">
        <v>785</v>
      </c>
      <c r="AI96" s="19"/>
      <c r="AJ96" s="19"/>
      <c r="AK96" s="19"/>
      <c r="AL96" s="43" t="s">
        <v>551</v>
      </c>
      <c r="AM96" s="19">
        <v>0</v>
      </c>
      <c r="AN96" s="19" t="s">
        <v>1406</v>
      </c>
      <c r="AO96" s="19" t="s">
        <v>1349</v>
      </c>
      <c r="AP96" s="19">
        <v>1178</v>
      </c>
      <c r="AQ96" s="26">
        <f>IFERROR(PropInfo[[#This Row],[Yardi]]*1,PropInfo[[#This Row],[Yardi]])</f>
        <v>135</v>
      </c>
    </row>
    <row r="97" spans="1:43" x14ac:dyDescent="0.2">
      <c r="A97" s="43" t="s">
        <v>549</v>
      </c>
      <c r="B97" s="19" t="s">
        <v>550</v>
      </c>
      <c r="C97" s="37">
        <v>200</v>
      </c>
      <c r="D97" s="37">
        <v>159860</v>
      </c>
      <c r="E97" s="19" t="s" vm="102">
        <v>1368</v>
      </c>
      <c r="F97" s="19" t="s">
        <v>1409</v>
      </c>
      <c r="G97" s="19" t="s">
        <v>781</v>
      </c>
      <c r="H97" s="19" t="s">
        <v>550</v>
      </c>
      <c r="I97" s="19" t="s">
        <v>864</v>
      </c>
      <c r="J97" s="19" t="s">
        <v>119</v>
      </c>
      <c r="K97" s="19" t="s">
        <v>6</v>
      </c>
      <c r="L97" s="19">
        <v>94538</v>
      </c>
      <c r="M97" s="19">
        <v>37.539096999999998</v>
      </c>
      <c r="N97" s="19">
        <v>-121.974495</v>
      </c>
      <c r="O97" s="19" t="s">
        <v>786</v>
      </c>
      <c r="P97" s="19" t="s">
        <v>1414</v>
      </c>
      <c r="Q97" s="19" t="s">
        <v>853</v>
      </c>
      <c r="R97" s="19" t="s">
        <v>854</v>
      </c>
      <c r="S97" s="19" t="s">
        <v>119</v>
      </c>
      <c r="T97" s="19" t="s">
        <v>119</v>
      </c>
      <c r="U97" s="19" t="s">
        <v>790</v>
      </c>
      <c r="V97" s="19" t="s">
        <v>782</v>
      </c>
      <c r="W97" s="20">
        <v>1</v>
      </c>
      <c r="X97" s="39">
        <v>1975</v>
      </c>
      <c r="Y97" s="39">
        <v>1982</v>
      </c>
      <c r="Z97" s="25">
        <v>30042</v>
      </c>
      <c r="AA97" s="19">
        <v>1983</v>
      </c>
      <c r="AB97" s="25">
        <v>30102</v>
      </c>
      <c r="AC97" s="19" t="s">
        <v>783</v>
      </c>
      <c r="AD97" s="19" t="s">
        <v>784</v>
      </c>
      <c r="AE97" s="21">
        <v>0</v>
      </c>
      <c r="AF97" s="19">
        <v>3</v>
      </c>
      <c r="AG97" s="19">
        <v>17</v>
      </c>
      <c r="AH97" s="19" t="s">
        <v>785</v>
      </c>
      <c r="AI97" s="19"/>
      <c r="AJ97" s="19"/>
      <c r="AK97" s="19"/>
      <c r="AL97" s="43" t="s">
        <v>549</v>
      </c>
      <c r="AM97" s="19">
        <v>20</v>
      </c>
      <c r="AN97" s="19" t="s">
        <v>1403</v>
      </c>
      <c r="AO97" s="19" t="s">
        <v>1568</v>
      </c>
      <c r="AP97" s="19">
        <v>1182</v>
      </c>
      <c r="AQ97" s="26">
        <f>IFERROR(PropInfo[[#This Row],[Yardi]]*1,PropInfo[[#This Row],[Yardi]])</f>
        <v>136</v>
      </c>
    </row>
    <row r="98" spans="1:43" x14ac:dyDescent="0.2">
      <c r="A98" s="43" t="s">
        <v>181</v>
      </c>
      <c r="B98" s="19" t="s">
        <v>182</v>
      </c>
      <c r="C98" s="37">
        <v>224</v>
      </c>
      <c r="D98" s="37">
        <v>129440</v>
      </c>
      <c r="E98" s="19" t="s" vm="197">
        <v>1368</v>
      </c>
      <c r="F98" s="19" t="s">
        <v>1409</v>
      </c>
      <c r="G98" s="19" t="s">
        <v>781</v>
      </c>
      <c r="H98" s="19" t="s">
        <v>182</v>
      </c>
      <c r="I98" s="19" t="s">
        <v>183</v>
      </c>
      <c r="J98" s="19" t="s">
        <v>39</v>
      </c>
      <c r="K98" s="19" t="s">
        <v>6</v>
      </c>
      <c r="L98" s="19">
        <v>92108</v>
      </c>
      <c r="M98" s="19">
        <v>32.767009999999999</v>
      </c>
      <c r="N98" s="19">
        <v>-117.176804</v>
      </c>
      <c r="O98" s="19" t="s">
        <v>929</v>
      </c>
      <c r="P98" s="19" t="s">
        <v>1415</v>
      </c>
      <c r="Q98" s="19" t="s">
        <v>1052</v>
      </c>
      <c r="R98" s="19" t="s">
        <v>39</v>
      </c>
      <c r="S98" s="19" t="s">
        <v>1058</v>
      </c>
      <c r="T98" s="19" t="s">
        <v>1063</v>
      </c>
      <c r="U98" s="19" t="s">
        <v>790</v>
      </c>
      <c r="V98" s="19" t="s">
        <v>782</v>
      </c>
      <c r="W98" s="20">
        <v>1</v>
      </c>
      <c r="X98" s="39">
        <v>1974</v>
      </c>
      <c r="Y98" s="39">
        <v>1997</v>
      </c>
      <c r="Z98" s="25">
        <v>35611</v>
      </c>
      <c r="AA98" s="19">
        <v>1998</v>
      </c>
      <c r="AB98" s="25">
        <v>35642</v>
      </c>
      <c r="AC98" s="19" t="s">
        <v>783</v>
      </c>
      <c r="AD98" s="19" t="s">
        <v>784</v>
      </c>
      <c r="AE98" s="21">
        <v>224</v>
      </c>
      <c r="AF98" s="19">
        <v>2</v>
      </c>
      <c r="AG98" s="19">
        <v>12</v>
      </c>
      <c r="AH98" s="19" t="s">
        <v>809</v>
      </c>
      <c r="AI98" s="19"/>
      <c r="AJ98" s="19"/>
      <c r="AK98" s="19"/>
      <c r="AL98" s="43" t="s">
        <v>181</v>
      </c>
      <c r="AM98" s="19">
        <v>0</v>
      </c>
      <c r="AN98" s="19" t="s">
        <v>1406</v>
      </c>
      <c r="AO98" s="19" t="s">
        <v>1356</v>
      </c>
      <c r="AP98" s="19">
        <v>1183</v>
      </c>
      <c r="AQ98" s="26">
        <f>IFERROR(PropInfo[[#This Row],[Yardi]]*1,PropInfo[[#This Row],[Yardi]])</f>
        <v>137</v>
      </c>
    </row>
    <row r="99" spans="1:43" x14ac:dyDescent="0.2">
      <c r="A99" s="43" t="s">
        <v>366</v>
      </c>
      <c r="B99" s="19" t="s">
        <v>1151</v>
      </c>
      <c r="C99" s="37">
        <v>164</v>
      </c>
      <c r="D99" s="37">
        <v>134360</v>
      </c>
      <c r="E99" s="19" t="s" vm="46">
        <v>1368</v>
      </c>
      <c r="F99" s="19" t="s">
        <v>1409</v>
      </c>
      <c r="G99" s="19" t="s">
        <v>781</v>
      </c>
      <c r="H99" s="19" t="s">
        <v>1151</v>
      </c>
      <c r="I99" s="19" t="s">
        <v>367</v>
      </c>
      <c r="J99" s="19" t="s">
        <v>368</v>
      </c>
      <c r="K99" s="19" t="s">
        <v>27</v>
      </c>
      <c r="L99" s="19">
        <v>98012</v>
      </c>
      <c r="M99" s="19">
        <v>47.849502999999999</v>
      </c>
      <c r="N99" s="19">
        <v>-122.21721599999999</v>
      </c>
      <c r="O99" s="19" t="s">
        <v>1090</v>
      </c>
      <c r="P99" s="19" t="s">
        <v>1412</v>
      </c>
      <c r="Q99" s="19" t="s">
        <v>1091</v>
      </c>
      <c r="R99" s="19" t="s">
        <v>1147</v>
      </c>
      <c r="S99" s="19" t="s">
        <v>1107</v>
      </c>
      <c r="T99" s="19" t="s">
        <v>1108</v>
      </c>
      <c r="U99" s="19" t="s">
        <v>790</v>
      </c>
      <c r="V99" s="19" t="s">
        <v>782</v>
      </c>
      <c r="W99" s="20">
        <v>1</v>
      </c>
      <c r="X99" s="39">
        <v>1981</v>
      </c>
      <c r="Y99" s="39">
        <v>1996</v>
      </c>
      <c r="Z99" s="25">
        <v>35423</v>
      </c>
      <c r="AA99" s="19">
        <v>1997</v>
      </c>
      <c r="AB99" s="25">
        <v>35461</v>
      </c>
      <c r="AC99" s="19" t="s">
        <v>783</v>
      </c>
      <c r="AD99" s="19" t="s">
        <v>784</v>
      </c>
      <c r="AE99" s="27">
        <v>164</v>
      </c>
      <c r="AF99" s="19">
        <v>3</v>
      </c>
      <c r="AG99" s="19">
        <v>12</v>
      </c>
      <c r="AH99" s="19" t="s">
        <v>785</v>
      </c>
      <c r="AI99" s="19"/>
      <c r="AJ99" s="19"/>
      <c r="AK99" s="19"/>
      <c r="AL99" s="43" t="s">
        <v>366</v>
      </c>
      <c r="AM99" s="19">
        <v>0</v>
      </c>
      <c r="AN99" s="19" t="s">
        <v>1406</v>
      </c>
      <c r="AO99" s="19" t="s">
        <v>1349</v>
      </c>
      <c r="AP99" s="19">
        <v>1165</v>
      </c>
      <c r="AQ99" s="26">
        <f>IFERROR(PropInfo[[#This Row],[Yardi]]*1,PropInfo[[#This Row],[Yardi]])</f>
        <v>141</v>
      </c>
    </row>
    <row r="100" spans="1:43" hidden="1" x14ac:dyDescent="0.2">
      <c r="A100" s="43" t="s">
        <v>217</v>
      </c>
      <c r="B100" s="19" t="s">
        <v>218</v>
      </c>
      <c r="C100" s="38">
        <v>4</v>
      </c>
      <c r="D100" s="37">
        <v>7574</v>
      </c>
      <c r="E100" s="19" t="s">
        <v>762</v>
      </c>
      <c r="F100" s="19" t="s">
        <v>1409</v>
      </c>
      <c r="G100" s="19" t="s">
        <v>835</v>
      </c>
      <c r="H100" s="19" t="s">
        <v>215</v>
      </c>
      <c r="I100" s="19" t="s">
        <v>216</v>
      </c>
      <c r="J100" s="19" t="s">
        <v>91</v>
      </c>
      <c r="K100" s="19" t="s">
        <v>27</v>
      </c>
      <c r="L100" s="19">
        <v>98004</v>
      </c>
      <c r="M100" s="19">
        <v>47.609229999999997</v>
      </c>
      <c r="N100" s="19">
        <v>-122.203293</v>
      </c>
      <c r="O100" s="19" t="s">
        <v>1090</v>
      </c>
      <c r="P100" s="19" t="s">
        <v>1412</v>
      </c>
      <c r="Q100" s="19" t="s">
        <v>1091</v>
      </c>
      <c r="R100" s="19" t="s">
        <v>1092</v>
      </c>
      <c r="S100" s="19" t="s">
        <v>1093</v>
      </c>
      <c r="T100" s="19" t="s">
        <v>1094</v>
      </c>
      <c r="U100" s="19" t="s">
        <v>790</v>
      </c>
      <c r="V100" s="19" t="s">
        <v>782</v>
      </c>
      <c r="W100" s="20">
        <v>1</v>
      </c>
      <c r="X100" s="39">
        <v>2000</v>
      </c>
      <c r="Y100" s="39">
        <v>2010</v>
      </c>
      <c r="Z100" s="25">
        <v>40480</v>
      </c>
      <c r="AA100" s="19">
        <v>2012</v>
      </c>
      <c r="AB100" s="25">
        <v>40848</v>
      </c>
      <c r="AC100" s="19" t="s">
        <v>804</v>
      </c>
      <c r="AD100" s="19" t="s">
        <v>800</v>
      </c>
      <c r="AE100" s="21">
        <v>0</v>
      </c>
      <c r="AF100" s="19">
        <v>5</v>
      </c>
      <c r="AG100" s="19">
        <v>1</v>
      </c>
      <c r="AH100" s="19" t="s">
        <v>792</v>
      </c>
      <c r="AI100" s="19"/>
      <c r="AJ100" s="19"/>
      <c r="AK100" s="19"/>
      <c r="AL100" s="43" t="e">
        <v>#N/A</v>
      </c>
      <c r="AM100" s="19" t="e">
        <v>#N/A</v>
      </c>
      <c r="AN100" s="19" t="e">
        <v>#N/A</v>
      </c>
      <c r="AO100" s="19" t="s">
        <v>1565</v>
      </c>
      <c r="AP100" s="19">
        <v>0</v>
      </c>
      <c r="AQ100" s="26">
        <f>IFERROR(PropInfo[[#This Row],[Yardi]]*1,PropInfo[[#This Row],[Yardi]])</f>
        <v>10</v>
      </c>
    </row>
    <row r="101" spans="1:43" x14ac:dyDescent="0.2">
      <c r="A101" s="43" t="s">
        <v>440</v>
      </c>
      <c r="B101" s="19" t="s">
        <v>1102</v>
      </c>
      <c r="C101" s="37">
        <v>192</v>
      </c>
      <c r="D101" s="37">
        <v>161224</v>
      </c>
      <c r="E101" s="19" t="s" vm="47">
        <v>1368</v>
      </c>
      <c r="F101" s="19" t="s">
        <v>1409</v>
      </c>
      <c r="G101" s="19" t="s">
        <v>781</v>
      </c>
      <c r="H101" s="19" t="s">
        <v>1102</v>
      </c>
      <c r="I101" s="19" t="s">
        <v>1103</v>
      </c>
      <c r="J101" s="19" t="s">
        <v>91</v>
      </c>
      <c r="K101" s="19" t="s">
        <v>27</v>
      </c>
      <c r="L101" s="19">
        <v>98005</v>
      </c>
      <c r="M101" s="19">
        <v>47.620868999999999</v>
      </c>
      <c r="N101" s="19">
        <v>-122.155495</v>
      </c>
      <c r="O101" s="19" t="s">
        <v>1090</v>
      </c>
      <c r="P101" s="19" t="s">
        <v>1412</v>
      </c>
      <c r="Q101" s="19" t="s">
        <v>1091</v>
      </c>
      <c r="R101" s="19" t="s">
        <v>1092</v>
      </c>
      <c r="S101" s="19" t="s">
        <v>1093</v>
      </c>
      <c r="T101" s="19" t="s">
        <v>1100</v>
      </c>
      <c r="U101" s="19" t="s">
        <v>790</v>
      </c>
      <c r="V101" s="19" t="s">
        <v>782</v>
      </c>
      <c r="W101" s="20">
        <v>1</v>
      </c>
      <c r="X101" s="39">
        <v>1977</v>
      </c>
      <c r="Y101" s="39">
        <v>1990</v>
      </c>
      <c r="Z101" s="25">
        <v>32994</v>
      </c>
      <c r="AA101" s="19">
        <v>1991</v>
      </c>
      <c r="AB101" s="25">
        <v>33054</v>
      </c>
      <c r="AC101" s="19" t="s">
        <v>783</v>
      </c>
      <c r="AD101" s="19" t="s">
        <v>784</v>
      </c>
      <c r="AE101" s="21" t="s">
        <v>1494</v>
      </c>
      <c r="AF101" s="19">
        <v>2</v>
      </c>
      <c r="AG101" s="19">
        <v>24</v>
      </c>
      <c r="AH101" s="19" t="s">
        <v>785</v>
      </c>
      <c r="AI101" s="19"/>
      <c r="AJ101" s="19"/>
      <c r="AK101" s="19"/>
      <c r="AL101" s="43" t="s">
        <v>440</v>
      </c>
      <c r="AM101" s="19">
        <v>0</v>
      </c>
      <c r="AN101" s="19" t="s">
        <v>1406</v>
      </c>
      <c r="AO101" s="19" t="s">
        <v>1348</v>
      </c>
      <c r="AP101" s="19">
        <v>1184</v>
      </c>
      <c r="AQ101" s="26">
        <f>IFERROR(PropInfo[[#This Row],[Yardi]]*1,PropInfo[[#This Row],[Yardi]])</f>
        <v>144</v>
      </c>
    </row>
    <row r="102" spans="1:43" hidden="1" x14ac:dyDescent="0.2">
      <c r="A102" s="46" t="s">
        <v>1561</v>
      </c>
      <c r="B102" s="30" t="s">
        <v>1551</v>
      </c>
      <c r="C102" s="37">
        <v>2</v>
      </c>
      <c r="D102" s="38">
        <v>2415</v>
      </c>
      <c r="E102" s="31" t="s">
        <v>806</v>
      </c>
      <c r="F102" s="31" t="s">
        <v>1409</v>
      </c>
      <c r="G102" s="30" t="s">
        <v>835</v>
      </c>
      <c r="H102" s="19" t="s">
        <v>1549</v>
      </c>
      <c r="I102" s="32" t="s">
        <v>1550</v>
      </c>
      <c r="J102" s="32" t="s">
        <v>69</v>
      </c>
      <c r="K102" s="32" t="s">
        <v>6</v>
      </c>
      <c r="L102" s="19">
        <v>94608</v>
      </c>
      <c r="M102" s="19">
        <v>37.846310000000003</v>
      </c>
      <c r="N102" s="19">
        <v>-122.29300000000001</v>
      </c>
      <c r="O102" s="30" t="s">
        <v>786</v>
      </c>
      <c r="P102" s="31" t="s">
        <v>1414</v>
      </c>
      <c r="Q102" s="30" t="s">
        <v>853</v>
      </c>
      <c r="R102" s="30" t="s">
        <v>854</v>
      </c>
      <c r="S102" s="19" t="s">
        <v>855</v>
      </c>
      <c r="T102" s="19" t="s">
        <v>856</v>
      </c>
      <c r="U102" s="30" t="s">
        <v>790</v>
      </c>
      <c r="V102" s="30"/>
      <c r="W102" s="33">
        <v>0.5</v>
      </c>
      <c r="X102" s="39">
        <v>2004</v>
      </c>
      <c r="Y102" s="39">
        <v>2019</v>
      </c>
      <c r="Z102" s="25">
        <v>43686</v>
      </c>
      <c r="AA102" s="31">
        <v>2019</v>
      </c>
      <c r="AB102" s="34">
        <v>43686</v>
      </c>
      <c r="AC102" s="30" t="s">
        <v>804</v>
      </c>
      <c r="AD102" s="30" t="s">
        <v>796</v>
      </c>
      <c r="AE102" s="35"/>
      <c r="AF102" s="30">
        <v>4</v>
      </c>
      <c r="AG102" s="30">
        <v>1</v>
      </c>
      <c r="AH102" s="30"/>
      <c r="AI102" s="30"/>
      <c r="AJ102" s="30"/>
      <c r="AK102" s="30"/>
      <c r="AL102" s="44"/>
      <c r="AM102" s="31"/>
      <c r="AN102" s="31"/>
      <c r="AO102" s="19" t="s">
        <v>1565</v>
      </c>
      <c r="AP102" s="31"/>
      <c r="AQ102" s="26"/>
    </row>
    <row r="103" spans="1:43" x14ac:dyDescent="0.2">
      <c r="A103" s="43" t="s">
        <v>85</v>
      </c>
      <c r="B103" s="19" t="s">
        <v>1427</v>
      </c>
      <c r="C103" s="37">
        <v>462</v>
      </c>
      <c r="D103" s="37">
        <v>386663</v>
      </c>
      <c r="E103" s="19" t="s" vm="105">
        <v>1368</v>
      </c>
      <c r="F103" s="19" t="s">
        <v>1409</v>
      </c>
      <c r="G103" s="19" t="s">
        <v>781</v>
      </c>
      <c r="H103" s="19" t="s">
        <v>1427</v>
      </c>
      <c r="I103" s="19" t="s">
        <v>86</v>
      </c>
      <c r="J103" s="19" t="s">
        <v>87</v>
      </c>
      <c r="K103" s="19" t="s">
        <v>6</v>
      </c>
      <c r="L103" s="19">
        <v>94582</v>
      </c>
      <c r="M103" s="19">
        <v>37.782809999999998</v>
      </c>
      <c r="N103" s="19">
        <v>-121.938164</v>
      </c>
      <c r="O103" s="19" t="s">
        <v>786</v>
      </c>
      <c r="P103" s="19" t="s">
        <v>1414</v>
      </c>
      <c r="Q103" s="19" t="s">
        <v>853</v>
      </c>
      <c r="R103" s="19" t="s">
        <v>881</v>
      </c>
      <c r="S103" s="19" t="s">
        <v>87</v>
      </c>
      <c r="T103" s="19" t="s">
        <v>858</v>
      </c>
      <c r="U103" s="19" t="s">
        <v>790</v>
      </c>
      <c r="V103" s="19" t="s">
        <v>782</v>
      </c>
      <c r="W103" s="20">
        <v>1</v>
      </c>
      <c r="X103" s="39">
        <v>1999</v>
      </c>
      <c r="Y103" s="39">
        <v>1995</v>
      </c>
      <c r="Z103" s="25">
        <v>36315</v>
      </c>
      <c r="AA103" s="19">
        <v>1999</v>
      </c>
      <c r="AB103" s="25">
        <v>36372</v>
      </c>
      <c r="AC103" s="19" t="s">
        <v>783</v>
      </c>
      <c r="AD103" s="19" t="s">
        <v>784</v>
      </c>
      <c r="AE103" s="21">
        <v>0</v>
      </c>
      <c r="AF103" s="19">
        <v>2</v>
      </c>
      <c r="AG103" s="19">
        <v>16</v>
      </c>
      <c r="AH103" s="19" t="s">
        <v>889</v>
      </c>
      <c r="AI103" s="19"/>
      <c r="AJ103" s="19"/>
      <c r="AK103" s="19"/>
      <c r="AL103" s="43" t="s">
        <v>85</v>
      </c>
      <c r="AM103" s="19">
        <v>0</v>
      </c>
      <c r="AN103" s="19" t="s">
        <v>1406</v>
      </c>
      <c r="AO103" s="19" t="s">
        <v>1362</v>
      </c>
      <c r="AP103" s="19" t="s">
        <v>1509</v>
      </c>
      <c r="AQ103" s="26">
        <f>IFERROR(PropInfo[[#This Row],[Yardi]]*1,PropInfo[[#This Row],[Yardi]])</f>
        <v>145</v>
      </c>
    </row>
    <row r="104" spans="1:43" x14ac:dyDescent="0.2">
      <c r="A104" s="43" t="s">
        <v>118</v>
      </c>
      <c r="B104" s="19" t="s">
        <v>861</v>
      </c>
      <c r="C104" s="37">
        <v>172</v>
      </c>
      <c r="D104" s="37">
        <v>136000</v>
      </c>
      <c r="E104" s="19" t="s" vm="200">
        <v>1368</v>
      </c>
      <c r="F104" s="19" t="s">
        <v>1409</v>
      </c>
      <c r="G104" s="19" t="s">
        <v>781</v>
      </c>
      <c r="H104" s="19" t="s">
        <v>861</v>
      </c>
      <c r="I104" s="19" t="s">
        <v>862</v>
      </c>
      <c r="J104" s="19" t="s">
        <v>119</v>
      </c>
      <c r="K104" s="19" t="s">
        <v>6</v>
      </c>
      <c r="L104" s="19">
        <v>94538</v>
      </c>
      <c r="M104" s="19">
        <v>37.540554</v>
      </c>
      <c r="N104" s="19">
        <v>-121.972832</v>
      </c>
      <c r="O104" s="19" t="s">
        <v>786</v>
      </c>
      <c r="P104" s="19" t="s">
        <v>1414</v>
      </c>
      <c r="Q104" s="19" t="s">
        <v>853</v>
      </c>
      <c r="R104" s="19" t="s">
        <v>854</v>
      </c>
      <c r="S104" s="19" t="s">
        <v>119</v>
      </c>
      <c r="T104" s="19" t="s">
        <v>119</v>
      </c>
      <c r="U104" s="19" t="s">
        <v>790</v>
      </c>
      <c r="V104" s="19" t="s">
        <v>782</v>
      </c>
      <c r="W104" s="20">
        <v>1</v>
      </c>
      <c r="X104" s="39">
        <v>1978</v>
      </c>
      <c r="Y104" s="39">
        <v>1996</v>
      </c>
      <c r="Z104" s="25">
        <v>35095</v>
      </c>
      <c r="AA104" s="19">
        <v>1997</v>
      </c>
      <c r="AB104" s="25">
        <v>35124</v>
      </c>
      <c r="AC104" s="19" t="s">
        <v>783</v>
      </c>
      <c r="AD104" s="19" t="s">
        <v>784</v>
      </c>
      <c r="AE104" s="21">
        <v>0</v>
      </c>
      <c r="AF104" s="19">
        <v>2</v>
      </c>
      <c r="AG104" s="19">
        <v>13</v>
      </c>
      <c r="AH104" s="19" t="s">
        <v>785</v>
      </c>
      <c r="AI104" s="19"/>
      <c r="AJ104" s="19"/>
      <c r="AK104" s="19"/>
      <c r="AL104" s="43" t="s">
        <v>118</v>
      </c>
      <c r="AM104" s="19">
        <v>20</v>
      </c>
      <c r="AN104" s="19" t="s">
        <v>1403</v>
      </c>
      <c r="AO104" s="19" t="s">
        <v>1568</v>
      </c>
      <c r="AP104" s="19">
        <v>1189</v>
      </c>
      <c r="AQ104" s="26">
        <f>IFERROR(PropInfo[[#This Row],[Yardi]]*1,PropInfo[[#This Row],[Yardi]])</f>
        <v>146</v>
      </c>
    </row>
    <row r="105" spans="1:43" x14ac:dyDescent="0.2">
      <c r="A105" s="43" t="s">
        <v>654</v>
      </c>
      <c r="B105" s="19" t="s">
        <v>1428</v>
      </c>
      <c r="C105" s="37">
        <v>508</v>
      </c>
      <c r="D105" s="37">
        <v>471744</v>
      </c>
      <c r="E105" s="19" t="s" vm="48">
        <v>1368</v>
      </c>
      <c r="F105" s="19" t="s">
        <v>1409</v>
      </c>
      <c r="G105" s="19" t="s">
        <v>781</v>
      </c>
      <c r="H105" s="19" t="s">
        <v>1428</v>
      </c>
      <c r="I105" s="19" t="s">
        <v>837</v>
      </c>
      <c r="J105" s="19" t="s">
        <v>9</v>
      </c>
      <c r="K105" s="19" t="s">
        <v>6</v>
      </c>
      <c r="L105" s="19">
        <v>95131</v>
      </c>
      <c r="M105" s="19">
        <v>37.384734999999999</v>
      </c>
      <c r="N105" s="19">
        <v>-121.894386</v>
      </c>
      <c r="O105" s="19" t="s">
        <v>786</v>
      </c>
      <c r="P105" s="19" t="s">
        <v>1414</v>
      </c>
      <c r="Q105" s="19" t="s">
        <v>787</v>
      </c>
      <c r="R105" s="19" t="s">
        <v>5</v>
      </c>
      <c r="S105" s="19" t="s">
        <v>797</v>
      </c>
      <c r="T105" s="19" t="s">
        <v>798</v>
      </c>
      <c r="U105" s="19" t="s">
        <v>790</v>
      </c>
      <c r="V105" s="19" t="s">
        <v>782</v>
      </c>
      <c r="W105" s="20">
        <v>1</v>
      </c>
      <c r="X105" s="39">
        <v>1989</v>
      </c>
      <c r="Y105" s="39">
        <v>2012</v>
      </c>
      <c r="Z105" s="25">
        <v>41205</v>
      </c>
      <c r="AA105" s="19">
        <v>2015</v>
      </c>
      <c r="AB105" s="25">
        <v>41671</v>
      </c>
      <c r="AC105" s="19" t="s">
        <v>783</v>
      </c>
      <c r="AD105" s="19" t="s">
        <v>784</v>
      </c>
      <c r="AE105" s="27">
        <v>0</v>
      </c>
      <c r="AF105" s="19">
        <v>3</v>
      </c>
      <c r="AG105" s="19">
        <v>51</v>
      </c>
      <c r="AH105" s="19" t="s">
        <v>809</v>
      </c>
      <c r="AI105" s="19" t="s">
        <v>1385</v>
      </c>
      <c r="AJ105" s="19">
        <v>12</v>
      </c>
      <c r="AK105" s="19">
        <v>2027</v>
      </c>
      <c r="AL105" s="43" t="s">
        <v>654</v>
      </c>
      <c r="AM105" s="19">
        <v>0</v>
      </c>
      <c r="AN105" s="19" t="s">
        <v>1406</v>
      </c>
      <c r="AO105" s="19" t="s">
        <v>1364</v>
      </c>
      <c r="AP105" s="19">
        <v>13014</v>
      </c>
      <c r="AQ105" s="26">
        <f>IFERROR(PropInfo[[#This Row],[Yardi]]*1,PropInfo[[#This Row],[Yardi]])</f>
        <v>147</v>
      </c>
    </row>
    <row r="106" spans="1:43" hidden="1" x14ac:dyDescent="0.2">
      <c r="A106" s="43" t="s">
        <v>231</v>
      </c>
      <c r="B106" s="19" t="s">
        <v>232</v>
      </c>
      <c r="C106" s="37">
        <v>10</v>
      </c>
      <c r="D106" s="37">
        <v>106898</v>
      </c>
      <c r="E106" s="19" t="s">
        <v>762</v>
      </c>
      <c r="F106" s="19" t="s">
        <v>1409</v>
      </c>
      <c r="G106" s="19" t="s">
        <v>1187</v>
      </c>
      <c r="H106" s="19" t="s">
        <v>232</v>
      </c>
      <c r="I106" s="19" t="s">
        <v>233</v>
      </c>
      <c r="J106" s="19" t="s">
        <v>81</v>
      </c>
      <c r="K106" s="19" t="s">
        <v>6</v>
      </c>
      <c r="L106" s="19">
        <v>92614</v>
      </c>
      <c r="M106" s="19">
        <v>33.685729000000002</v>
      </c>
      <c r="N106" s="19">
        <v>-117.84123700000001</v>
      </c>
      <c r="O106" s="19" t="s">
        <v>929</v>
      </c>
      <c r="P106" s="19" t="s">
        <v>1415</v>
      </c>
      <c r="Q106" s="19" t="s">
        <v>1017</v>
      </c>
      <c r="R106" s="19" t="s">
        <v>510</v>
      </c>
      <c r="S106" s="19" t="s">
        <v>1024</v>
      </c>
      <c r="T106" s="19" t="s">
        <v>1189</v>
      </c>
      <c r="U106" s="19" t="s">
        <v>790</v>
      </c>
      <c r="V106" s="19" t="s">
        <v>782</v>
      </c>
      <c r="W106" s="20">
        <v>1</v>
      </c>
      <c r="X106" s="39">
        <v>1983</v>
      </c>
      <c r="Y106" s="39">
        <v>2000</v>
      </c>
      <c r="Z106" s="25">
        <v>40445</v>
      </c>
      <c r="AA106" s="19">
        <v>2011</v>
      </c>
      <c r="AB106" s="25">
        <v>40482</v>
      </c>
      <c r="AC106" s="19" t="s">
        <v>762</v>
      </c>
      <c r="AD106" s="19" t="s">
        <v>1188</v>
      </c>
      <c r="AE106" s="21">
        <v>0</v>
      </c>
      <c r="AF106" s="19">
        <v>2</v>
      </c>
      <c r="AG106" s="19">
        <v>1</v>
      </c>
      <c r="AH106" s="19" t="s">
        <v>870</v>
      </c>
      <c r="AI106" s="19"/>
      <c r="AJ106" s="19"/>
      <c r="AK106" s="19"/>
      <c r="AL106" s="43" t="e">
        <v>#N/A</v>
      </c>
      <c r="AM106" s="19" t="e">
        <v>#N/A</v>
      </c>
      <c r="AN106" s="19" t="e">
        <v>#N/A</v>
      </c>
      <c r="AO106" s="19" t="s">
        <v>1565</v>
      </c>
      <c r="AP106" s="19">
        <v>0</v>
      </c>
      <c r="AQ106" s="26">
        <f>IFERROR(PropInfo[[#This Row],[Yardi]]*1,PropInfo[[#This Row],[Yardi]])</f>
        <v>59</v>
      </c>
    </row>
    <row r="107" spans="1:43" x14ac:dyDescent="0.2">
      <c r="A107" s="43" t="s">
        <v>603</v>
      </c>
      <c r="B107" s="19" t="s">
        <v>604</v>
      </c>
      <c r="C107" s="37">
        <v>132</v>
      </c>
      <c r="D107" s="37">
        <v>130680</v>
      </c>
      <c r="E107" s="19" t="s" vm="50">
        <v>1368</v>
      </c>
      <c r="F107" s="19" t="s">
        <v>1409</v>
      </c>
      <c r="G107" s="19" t="s">
        <v>781</v>
      </c>
      <c r="H107" s="19" t="s">
        <v>604</v>
      </c>
      <c r="I107" s="19" t="s">
        <v>605</v>
      </c>
      <c r="J107" s="19" t="s">
        <v>606</v>
      </c>
      <c r="K107" s="19" t="s">
        <v>6</v>
      </c>
      <c r="L107" s="19">
        <v>92630</v>
      </c>
      <c r="M107" s="19">
        <v>33.652931000000002</v>
      </c>
      <c r="N107" s="19">
        <v>-117.686638</v>
      </c>
      <c r="O107" s="19" t="s">
        <v>929</v>
      </c>
      <c r="P107" s="19" t="s">
        <v>1415</v>
      </c>
      <c r="Q107" s="19" t="s">
        <v>1017</v>
      </c>
      <c r="R107" s="19" t="s">
        <v>510</v>
      </c>
      <c r="S107" s="19" t="s">
        <v>1024</v>
      </c>
      <c r="T107" s="19" t="s">
        <v>1045</v>
      </c>
      <c r="U107" s="19" t="s">
        <v>790</v>
      </c>
      <c r="V107" s="19" t="s">
        <v>782</v>
      </c>
      <c r="W107" s="20">
        <v>1</v>
      </c>
      <c r="X107" s="39">
        <v>1985</v>
      </c>
      <c r="Y107" s="39">
        <v>1997</v>
      </c>
      <c r="Z107" s="25">
        <v>35733</v>
      </c>
      <c r="AA107" s="19">
        <v>1998</v>
      </c>
      <c r="AB107" s="25">
        <v>35764</v>
      </c>
      <c r="AC107" s="19" t="s">
        <v>783</v>
      </c>
      <c r="AD107" s="19" t="s">
        <v>784</v>
      </c>
      <c r="AE107" s="21">
        <v>132</v>
      </c>
      <c r="AF107" s="19">
        <v>2</v>
      </c>
      <c r="AG107" s="19">
        <v>18</v>
      </c>
      <c r="AH107" s="19" t="s">
        <v>809</v>
      </c>
      <c r="AI107" s="19"/>
      <c r="AJ107" s="19"/>
      <c r="AK107" s="19"/>
      <c r="AL107" s="43" t="s">
        <v>603</v>
      </c>
      <c r="AM107" s="19">
        <v>14</v>
      </c>
      <c r="AN107" s="19" t="s">
        <v>1403</v>
      </c>
      <c r="AO107" s="19" t="s">
        <v>1361</v>
      </c>
      <c r="AP107" s="52">
        <v>1188</v>
      </c>
      <c r="AQ107" s="26">
        <f>IFERROR(PropInfo[[#This Row],[Yardi]]*1,PropInfo[[#This Row],[Yardi]])</f>
        <v>148</v>
      </c>
    </row>
    <row r="108" spans="1:43" x14ac:dyDescent="0.2">
      <c r="A108" s="43" t="s">
        <v>598</v>
      </c>
      <c r="B108" s="19" t="s">
        <v>599</v>
      </c>
      <c r="C108" s="37">
        <v>404</v>
      </c>
      <c r="D108" s="37">
        <v>385396</v>
      </c>
      <c r="E108" s="19" t="s" vm="106">
        <v>1368</v>
      </c>
      <c r="F108" s="19" t="s">
        <v>1409</v>
      </c>
      <c r="G108" s="19" t="s">
        <v>781</v>
      </c>
      <c r="H108" s="19" t="s">
        <v>599</v>
      </c>
      <c r="I108" s="19" t="s">
        <v>1006</v>
      </c>
      <c r="J108" s="19" t="s">
        <v>57</v>
      </c>
      <c r="K108" s="19" t="s">
        <v>6</v>
      </c>
      <c r="L108" s="19">
        <v>93030</v>
      </c>
      <c r="M108" s="19">
        <v>34.215462000000002</v>
      </c>
      <c r="N108" s="19">
        <v>-119.14746100000001</v>
      </c>
      <c r="O108" s="19" t="s">
        <v>929</v>
      </c>
      <c r="P108" s="19" t="s">
        <v>1413</v>
      </c>
      <c r="Q108" s="19" t="s">
        <v>995</v>
      </c>
      <c r="R108" s="19" t="s">
        <v>375</v>
      </c>
      <c r="S108" s="19" t="s">
        <v>375</v>
      </c>
      <c r="T108" s="19" t="s">
        <v>57</v>
      </c>
      <c r="U108" s="19" t="s">
        <v>779</v>
      </c>
      <c r="V108" s="19" t="s">
        <v>782</v>
      </c>
      <c r="W108" s="20">
        <v>1</v>
      </c>
      <c r="X108" s="39">
        <v>2001</v>
      </c>
      <c r="Y108" s="39">
        <v>1999</v>
      </c>
      <c r="Z108" s="25">
        <v>38134</v>
      </c>
      <c r="AA108" s="19">
        <v>2005</v>
      </c>
      <c r="AB108" s="25">
        <v>38168</v>
      </c>
      <c r="AC108" s="19" t="s">
        <v>783</v>
      </c>
      <c r="AD108" s="19" t="s">
        <v>784</v>
      </c>
      <c r="AE108" s="21">
        <v>0</v>
      </c>
      <c r="AF108" s="19">
        <v>3</v>
      </c>
      <c r="AG108" s="19">
        <v>26</v>
      </c>
      <c r="AH108" s="19" t="s">
        <v>785</v>
      </c>
      <c r="AI108" s="19" t="s">
        <v>1375</v>
      </c>
      <c r="AJ108" s="19">
        <v>40</v>
      </c>
      <c r="AK108" s="19">
        <v>2019</v>
      </c>
      <c r="AL108" s="43" t="s">
        <v>598</v>
      </c>
      <c r="AM108" s="19">
        <v>13</v>
      </c>
      <c r="AN108" s="19" t="s">
        <v>1403</v>
      </c>
      <c r="AO108" s="19" t="s">
        <v>1355</v>
      </c>
      <c r="AP108" s="19">
        <v>9818</v>
      </c>
      <c r="AQ108" s="26">
        <f>IFERROR(PropInfo[[#This Row],[Yardi]]*1,PropInfo[[#This Row],[Yardi]])</f>
        <v>149</v>
      </c>
    </row>
    <row r="109" spans="1:43" x14ac:dyDescent="0.2">
      <c r="A109" s="43" t="s">
        <v>423</v>
      </c>
      <c r="B109" s="19" t="s">
        <v>1445</v>
      </c>
      <c r="C109" s="37">
        <v>122</v>
      </c>
      <c r="D109" s="37">
        <v>122120</v>
      </c>
      <c r="E109" s="19" t="s" vm="199">
        <v>1368</v>
      </c>
      <c r="F109" s="19" t="s">
        <v>1409</v>
      </c>
      <c r="G109" s="19" t="s">
        <v>781</v>
      </c>
      <c r="H109" s="19" t="s">
        <v>1007</v>
      </c>
      <c r="I109" s="19" t="s">
        <v>424</v>
      </c>
      <c r="J109" s="19" t="s">
        <v>57</v>
      </c>
      <c r="K109" s="19" t="s">
        <v>6</v>
      </c>
      <c r="L109" s="19">
        <v>93035</v>
      </c>
      <c r="M109" s="19">
        <v>34.191108999999997</v>
      </c>
      <c r="N109" s="19">
        <v>-119.20959499999999</v>
      </c>
      <c r="O109" s="19" t="s">
        <v>929</v>
      </c>
      <c r="P109" s="19" t="s">
        <v>1413</v>
      </c>
      <c r="Q109" s="19" t="s">
        <v>995</v>
      </c>
      <c r="R109" s="19" t="s">
        <v>375</v>
      </c>
      <c r="S109" s="19" t="s">
        <v>375</v>
      </c>
      <c r="T109" s="19" t="s">
        <v>57</v>
      </c>
      <c r="U109" s="19" t="s">
        <v>790</v>
      </c>
      <c r="V109" s="19" t="s">
        <v>782</v>
      </c>
      <c r="W109" s="20">
        <v>1</v>
      </c>
      <c r="X109" s="39">
        <v>1974</v>
      </c>
      <c r="Y109" s="39">
        <v>1997</v>
      </c>
      <c r="Z109" s="25">
        <v>35626</v>
      </c>
      <c r="AA109" s="19">
        <v>1998</v>
      </c>
      <c r="AB109" s="25">
        <v>35673</v>
      </c>
      <c r="AC109" s="19" t="s">
        <v>783</v>
      </c>
      <c r="AD109" s="19" t="s">
        <v>784</v>
      </c>
      <c r="AE109" s="21">
        <v>0</v>
      </c>
      <c r="AF109" s="19">
        <v>2</v>
      </c>
      <c r="AG109" s="19">
        <v>21</v>
      </c>
      <c r="AH109" s="19" t="s">
        <v>870</v>
      </c>
      <c r="AI109" s="19"/>
      <c r="AJ109" s="19"/>
      <c r="AK109" s="19"/>
      <c r="AL109" s="43" t="s">
        <v>423</v>
      </c>
      <c r="AM109" s="19">
        <v>12</v>
      </c>
      <c r="AN109" s="19" t="s">
        <v>1403</v>
      </c>
      <c r="AO109" s="19" t="s">
        <v>1363</v>
      </c>
      <c r="AP109" s="19">
        <v>1186</v>
      </c>
      <c r="AQ109" s="26">
        <f>IFERROR(PropInfo[[#This Row],[Yardi]]*1,PropInfo[[#This Row],[Yardi]])</f>
        <v>150</v>
      </c>
    </row>
    <row r="110" spans="1:43" hidden="1" x14ac:dyDescent="0.2">
      <c r="A110" s="43" t="s">
        <v>710</v>
      </c>
      <c r="B110" s="19" t="s">
        <v>1177</v>
      </c>
      <c r="C110" s="37">
        <v>5</v>
      </c>
      <c r="D110" s="37">
        <v>13415</v>
      </c>
      <c r="E110" s="19" t="s">
        <v>762</v>
      </c>
      <c r="F110" s="19" t="s">
        <v>1409</v>
      </c>
      <c r="G110" s="19" t="s">
        <v>835</v>
      </c>
      <c r="H110" s="19" t="s">
        <v>973</v>
      </c>
      <c r="I110" s="19" t="s">
        <v>974</v>
      </c>
      <c r="J110" s="19" t="s">
        <v>570</v>
      </c>
      <c r="K110" s="19" t="s">
        <v>6</v>
      </c>
      <c r="L110" s="19">
        <v>90046</v>
      </c>
      <c r="M110" s="19">
        <v>34.090691</v>
      </c>
      <c r="N110" s="19">
        <v>-118.34410099999999</v>
      </c>
      <c r="O110" s="19" t="s">
        <v>929</v>
      </c>
      <c r="P110" s="19" t="s">
        <v>1413</v>
      </c>
      <c r="Q110" s="19" t="s">
        <v>930</v>
      </c>
      <c r="R110" s="19" t="s">
        <v>21</v>
      </c>
      <c r="S110" s="19" t="s">
        <v>956</v>
      </c>
      <c r="T110" s="19" t="s">
        <v>354</v>
      </c>
      <c r="U110" s="19" t="s">
        <v>779</v>
      </c>
      <c r="V110" s="19" t="s">
        <v>782</v>
      </c>
      <c r="W110" s="20">
        <v>1</v>
      </c>
      <c r="X110" s="39">
        <v>2014</v>
      </c>
      <c r="Y110" s="39">
        <v>2011</v>
      </c>
      <c r="Z110" s="25">
        <v>40884</v>
      </c>
      <c r="AA110" s="19">
        <v>2016</v>
      </c>
      <c r="AB110" s="25">
        <v>42125</v>
      </c>
      <c r="AC110" s="19" t="s">
        <v>804</v>
      </c>
      <c r="AD110" s="19" t="s">
        <v>800</v>
      </c>
      <c r="AE110" s="21">
        <v>0</v>
      </c>
      <c r="AF110" s="19">
        <v>6</v>
      </c>
      <c r="AG110" s="19">
        <v>1</v>
      </c>
      <c r="AH110" s="19" t="s">
        <v>792</v>
      </c>
      <c r="AI110" s="19"/>
      <c r="AJ110" s="19"/>
      <c r="AK110" s="19"/>
      <c r="AL110" s="43" t="e">
        <v>#N/A</v>
      </c>
      <c r="AM110" s="19" t="e">
        <v>#N/A</v>
      </c>
      <c r="AN110" s="19" t="e">
        <v>#N/A</v>
      </c>
      <c r="AO110" s="19" t="s">
        <v>1565</v>
      </c>
      <c r="AP110" s="19">
        <v>0</v>
      </c>
      <c r="AQ110" s="26">
        <f>IFERROR(PropInfo[[#This Row],[Yardi]]*1,PropInfo[[#This Row],[Yardi]])</f>
        <v>384</v>
      </c>
    </row>
    <row r="111" spans="1:43" hidden="1" x14ac:dyDescent="0.2">
      <c r="A111" s="43" t="s">
        <v>717</v>
      </c>
      <c r="B111" s="19" t="s">
        <v>1178</v>
      </c>
      <c r="C111" s="37"/>
      <c r="D111" s="37">
        <v>39063</v>
      </c>
      <c r="E111" s="19" t="s" vm="114">
        <v>925</v>
      </c>
      <c r="F111" s="19" t="s">
        <v>1411</v>
      </c>
      <c r="G111" s="19" t="s">
        <v>1179</v>
      </c>
      <c r="H111" s="19" t="s">
        <v>1397</v>
      </c>
      <c r="I111" s="19" t="s">
        <v>1180</v>
      </c>
      <c r="J111" s="19" t="s">
        <v>21</v>
      </c>
      <c r="K111" s="19" t="s">
        <v>6</v>
      </c>
      <c r="L111" s="19">
        <v>90028</v>
      </c>
      <c r="M111" s="19">
        <v>34.097484000000001</v>
      </c>
      <c r="N111" s="19">
        <v>-118.32469399999999</v>
      </c>
      <c r="O111" s="19" t="s">
        <v>929</v>
      </c>
      <c r="P111" s="19" t="s">
        <v>1413</v>
      </c>
      <c r="Q111" s="19" t="s">
        <v>930</v>
      </c>
      <c r="R111" s="19" t="s">
        <v>21</v>
      </c>
      <c r="S111" s="19" t="s">
        <v>956</v>
      </c>
      <c r="T111" s="19" t="s">
        <v>970</v>
      </c>
      <c r="U111" s="19" t="s">
        <v>790</v>
      </c>
      <c r="V111" s="19" t="s">
        <v>782</v>
      </c>
      <c r="W111" s="20">
        <v>1</v>
      </c>
      <c r="X111" s="39">
        <v>1938</v>
      </c>
      <c r="Y111" s="39">
        <v>2006</v>
      </c>
      <c r="Z111" s="25">
        <v>38917</v>
      </c>
      <c r="AA111" s="19"/>
      <c r="AB111" s="25"/>
      <c r="AC111" s="19" t="s">
        <v>804</v>
      </c>
      <c r="AD111" s="19" t="s">
        <v>1181</v>
      </c>
      <c r="AE111" s="21">
        <v>0</v>
      </c>
      <c r="AF111" s="19">
        <v>4</v>
      </c>
      <c r="AG111" s="19">
        <v>1</v>
      </c>
      <c r="AH111" s="19"/>
      <c r="AI111" s="19"/>
      <c r="AJ111" s="19"/>
      <c r="AK111" s="19"/>
      <c r="AL111" s="43" t="e">
        <v>#N/A</v>
      </c>
      <c r="AM111" s="19" t="e">
        <v>#N/A</v>
      </c>
      <c r="AN111" s="19" t="e">
        <v>#N/A</v>
      </c>
      <c r="AO111" s="19" t="s">
        <v>1565</v>
      </c>
      <c r="AP111" s="19" t="e">
        <v>#N/A</v>
      </c>
      <c r="AQ111" s="26">
        <f>IFERROR(PropInfo[[#This Row],[Yardi]]*1,PropInfo[[#This Row],[Yardi]])</f>
        <v>179</v>
      </c>
    </row>
    <row r="112" spans="1:43" x14ac:dyDescent="0.2">
      <c r="A112" s="43" t="s">
        <v>632</v>
      </c>
      <c r="B112" s="19" t="s">
        <v>633</v>
      </c>
      <c r="C112" s="37">
        <v>76</v>
      </c>
      <c r="D112" s="37">
        <v>78400</v>
      </c>
      <c r="E112" s="19" t="s" vm="49">
        <v>1368</v>
      </c>
      <c r="F112" s="19" t="s">
        <v>1409</v>
      </c>
      <c r="G112" s="19" t="s">
        <v>781</v>
      </c>
      <c r="H112" s="19" t="s">
        <v>633</v>
      </c>
      <c r="I112" s="19" t="s">
        <v>634</v>
      </c>
      <c r="J112" s="19" t="s">
        <v>635</v>
      </c>
      <c r="K112" s="19" t="s">
        <v>6</v>
      </c>
      <c r="L112" s="19">
        <v>94920</v>
      </c>
      <c r="M112" s="19">
        <v>37.879962999999996</v>
      </c>
      <c r="N112" s="19">
        <v>-122.461761</v>
      </c>
      <c r="O112" s="19" t="s">
        <v>786</v>
      </c>
      <c r="P112" s="19" t="s">
        <v>1414</v>
      </c>
      <c r="Q112" s="19" t="s">
        <v>689</v>
      </c>
      <c r="R112" s="19" t="s">
        <v>920</v>
      </c>
      <c r="S112" s="19" t="s">
        <v>920</v>
      </c>
      <c r="T112" s="19" t="s">
        <v>921</v>
      </c>
      <c r="U112" s="19" t="s">
        <v>790</v>
      </c>
      <c r="V112" s="19" t="s">
        <v>782</v>
      </c>
      <c r="W112" s="20">
        <v>1</v>
      </c>
      <c r="X112" s="39">
        <v>1963</v>
      </c>
      <c r="Y112" s="39">
        <v>2004</v>
      </c>
      <c r="Z112" s="25">
        <v>38205</v>
      </c>
      <c r="AA112" s="19">
        <v>2005</v>
      </c>
      <c r="AB112" s="25">
        <v>38260</v>
      </c>
      <c r="AC112" s="19" t="s">
        <v>783</v>
      </c>
      <c r="AD112" s="19" t="s">
        <v>784</v>
      </c>
      <c r="AE112" s="21">
        <v>0</v>
      </c>
      <c r="AF112" s="19">
        <v>3</v>
      </c>
      <c r="AG112" s="19">
        <v>8</v>
      </c>
      <c r="AH112" s="19" t="s">
        <v>792</v>
      </c>
      <c r="AI112" s="19"/>
      <c r="AJ112" s="19"/>
      <c r="AK112" s="19"/>
      <c r="AL112" s="43" t="s">
        <v>632</v>
      </c>
      <c r="AM112" s="19">
        <v>17</v>
      </c>
      <c r="AN112" s="19" t="s">
        <v>1403</v>
      </c>
      <c r="AO112" s="19" t="s">
        <v>1533</v>
      </c>
      <c r="AP112" s="19">
        <v>15836</v>
      </c>
      <c r="AQ112" s="26">
        <f>IFERROR(PropInfo[[#This Row],[Yardi]]*1,PropInfo[[#This Row],[Yardi]])</f>
        <v>151</v>
      </c>
    </row>
    <row r="113" spans="1:43" x14ac:dyDescent="0.2">
      <c r="A113" s="43" t="s">
        <v>374</v>
      </c>
      <c r="B113" s="19" t="s">
        <v>1010</v>
      </c>
      <c r="C113" s="37">
        <v>118</v>
      </c>
      <c r="D113" s="37">
        <v>71345</v>
      </c>
      <c r="E113" s="19" t="s" vm="51">
        <v>1368</v>
      </c>
      <c r="F113" s="19" t="s">
        <v>1409</v>
      </c>
      <c r="G113" s="19" t="s">
        <v>781</v>
      </c>
      <c r="H113" s="19" t="s">
        <v>1010</v>
      </c>
      <c r="I113" s="19" t="s">
        <v>1011</v>
      </c>
      <c r="J113" s="19" t="s">
        <v>375</v>
      </c>
      <c r="K113" s="19" t="s">
        <v>6</v>
      </c>
      <c r="L113" s="19">
        <v>93004</v>
      </c>
      <c r="M113" s="19">
        <v>34.279243000000001</v>
      </c>
      <c r="N113" s="19">
        <v>-119.162048</v>
      </c>
      <c r="O113" s="19" t="s">
        <v>929</v>
      </c>
      <c r="P113" s="19" t="s">
        <v>1413</v>
      </c>
      <c r="Q113" s="19" t="s">
        <v>995</v>
      </c>
      <c r="R113" s="19" t="s">
        <v>375</v>
      </c>
      <c r="S113" s="19" t="s">
        <v>375</v>
      </c>
      <c r="T113" s="19" t="s">
        <v>375</v>
      </c>
      <c r="U113" s="19" t="s">
        <v>790</v>
      </c>
      <c r="V113" s="19" t="s">
        <v>782</v>
      </c>
      <c r="W113" s="20">
        <v>1</v>
      </c>
      <c r="X113" s="39">
        <v>1971</v>
      </c>
      <c r="Y113" s="39">
        <v>1997</v>
      </c>
      <c r="Z113" s="25">
        <v>35606</v>
      </c>
      <c r="AA113" s="19">
        <v>1998</v>
      </c>
      <c r="AB113" s="25">
        <v>35642</v>
      </c>
      <c r="AC113" s="19" t="s">
        <v>783</v>
      </c>
      <c r="AD113" s="19" t="s">
        <v>784</v>
      </c>
      <c r="AE113" s="21">
        <v>0</v>
      </c>
      <c r="AF113" s="19">
        <v>2</v>
      </c>
      <c r="AG113" s="19">
        <v>4</v>
      </c>
      <c r="AH113" s="19" t="s">
        <v>870</v>
      </c>
      <c r="AI113" s="19"/>
      <c r="AJ113" s="19"/>
      <c r="AK113" s="19"/>
      <c r="AL113" s="43" t="s">
        <v>374</v>
      </c>
      <c r="AM113" s="19">
        <v>0</v>
      </c>
      <c r="AN113" s="19" t="s">
        <v>1406</v>
      </c>
      <c r="AO113" s="19" t="s">
        <v>1532</v>
      </c>
      <c r="AP113" s="19">
        <v>1191</v>
      </c>
      <c r="AQ113" s="26">
        <f>IFERROR(PropInfo[[#This Row],[Yardi]]*1,PropInfo[[#This Row],[Yardi]])</f>
        <v>158</v>
      </c>
    </row>
    <row r="114" spans="1:43" x14ac:dyDescent="0.2">
      <c r="A114" s="43" t="s">
        <v>487</v>
      </c>
      <c r="B114" s="19" t="s">
        <v>791</v>
      </c>
      <c r="C114" s="37">
        <v>116</v>
      </c>
      <c r="D114" s="37">
        <v>135168</v>
      </c>
      <c r="E114" s="19" t="s" vm="107">
        <v>1368</v>
      </c>
      <c r="F114" s="19" t="s">
        <v>1409</v>
      </c>
      <c r="G114" s="19" t="s">
        <v>781</v>
      </c>
      <c r="H114" s="19" t="s">
        <v>791</v>
      </c>
      <c r="I114" s="19" t="s">
        <v>488</v>
      </c>
      <c r="J114" s="19" t="s">
        <v>489</v>
      </c>
      <c r="K114" s="19" t="s">
        <v>6</v>
      </c>
      <c r="L114" s="19">
        <v>95014</v>
      </c>
      <c r="M114" s="19">
        <v>37.333157</v>
      </c>
      <c r="N114" s="19">
        <v>-122.022842</v>
      </c>
      <c r="O114" s="19" t="s">
        <v>786</v>
      </c>
      <c r="P114" s="19" t="s">
        <v>1414</v>
      </c>
      <c r="Q114" s="19" t="s">
        <v>787</v>
      </c>
      <c r="R114" s="19" t="s">
        <v>5</v>
      </c>
      <c r="S114" s="19" t="s">
        <v>788</v>
      </c>
      <c r="T114" s="19" t="s">
        <v>793</v>
      </c>
      <c r="U114" s="19" t="s">
        <v>790</v>
      </c>
      <c r="V114" s="19" t="s">
        <v>782</v>
      </c>
      <c r="W114" s="20">
        <v>1</v>
      </c>
      <c r="X114" s="39">
        <v>1963</v>
      </c>
      <c r="Y114" s="39">
        <v>1998</v>
      </c>
      <c r="Z114" s="25">
        <v>38162</v>
      </c>
      <c r="AA114" s="19">
        <v>2005</v>
      </c>
      <c r="AB114" s="25">
        <v>38199</v>
      </c>
      <c r="AC114" s="19" t="s">
        <v>783</v>
      </c>
      <c r="AD114" s="19" t="s">
        <v>784</v>
      </c>
      <c r="AE114" s="21">
        <v>0</v>
      </c>
      <c r="AF114" s="19">
        <v>2</v>
      </c>
      <c r="AG114" s="19">
        <v>29</v>
      </c>
      <c r="AH114" s="19" t="s">
        <v>792</v>
      </c>
      <c r="AI114" s="19"/>
      <c r="AJ114" s="19"/>
      <c r="AK114" s="19"/>
      <c r="AL114" s="43" t="s">
        <v>487</v>
      </c>
      <c r="AM114" s="19">
        <v>0</v>
      </c>
      <c r="AN114" s="19" t="s">
        <v>1406</v>
      </c>
      <c r="AO114" s="19" t="s">
        <v>1525</v>
      </c>
      <c r="AP114" s="19">
        <v>3425</v>
      </c>
      <c r="AQ114" s="26">
        <f>IFERROR(PropInfo[[#This Row],[Yardi]]*1,PropInfo[[#This Row],[Yardi]])</f>
        <v>161</v>
      </c>
    </row>
    <row r="115" spans="1:43" x14ac:dyDescent="0.2">
      <c r="A115" s="43" t="s">
        <v>227</v>
      </c>
      <c r="B115" s="19" t="s">
        <v>228</v>
      </c>
      <c r="C115" s="37">
        <v>126</v>
      </c>
      <c r="D115" s="37">
        <v>116389</v>
      </c>
      <c r="E115" s="19" t="s" vm="201">
        <v>1368</v>
      </c>
      <c r="F115" s="19" t="s">
        <v>1409</v>
      </c>
      <c r="G115" s="19" t="s">
        <v>781</v>
      </c>
      <c r="H115" s="19" t="s">
        <v>228</v>
      </c>
      <c r="I115" s="19" t="s">
        <v>229</v>
      </c>
      <c r="J115" s="19" t="s">
        <v>230</v>
      </c>
      <c r="K115" s="19" t="s">
        <v>27</v>
      </c>
      <c r="L115" s="19">
        <v>98052</v>
      </c>
      <c r="M115" s="19">
        <v>47.673152999999999</v>
      </c>
      <c r="N115" s="19">
        <v>-122.113297</v>
      </c>
      <c r="O115" s="19" t="s">
        <v>1090</v>
      </c>
      <c r="P115" s="19" t="s">
        <v>1412</v>
      </c>
      <c r="Q115" s="19" t="s">
        <v>1091</v>
      </c>
      <c r="R115" s="19" t="s">
        <v>1092</v>
      </c>
      <c r="S115" s="19" t="s">
        <v>1093</v>
      </c>
      <c r="T115" s="19" t="s">
        <v>230</v>
      </c>
      <c r="U115" s="19" t="s">
        <v>790</v>
      </c>
      <c r="V115" s="19" t="s">
        <v>782</v>
      </c>
      <c r="W115" s="20">
        <v>1</v>
      </c>
      <c r="X115" s="39">
        <v>2005</v>
      </c>
      <c r="Y115" s="39">
        <v>2011</v>
      </c>
      <c r="Z115" s="25">
        <v>40892</v>
      </c>
      <c r="AA115" s="19">
        <v>2013</v>
      </c>
      <c r="AB115" s="25">
        <v>40940</v>
      </c>
      <c r="AC115" s="19" t="s">
        <v>783</v>
      </c>
      <c r="AD115" s="19" t="s">
        <v>800</v>
      </c>
      <c r="AE115" s="21" t="s">
        <v>1494</v>
      </c>
      <c r="AF115" s="19">
        <v>4</v>
      </c>
      <c r="AG115" s="19">
        <v>2</v>
      </c>
      <c r="AH115" s="19" t="s">
        <v>809</v>
      </c>
      <c r="AI115" s="19" t="s">
        <v>1375</v>
      </c>
      <c r="AJ115" s="19">
        <v>13</v>
      </c>
      <c r="AK115" s="19" t="s">
        <v>1379</v>
      </c>
      <c r="AL115" s="43" t="s">
        <v>227</v>
      </c>
      <c r="AM115" s="19">
        <v>36</v>
      </c>
      <c r="AN115" s="19" t="s">
        <v>1403</v>
      </c>
      <c r="AO115" s="19" t="s">
        <v>1348</v>
      </c>
      <c r="AP115" s="19">
        <v>21625</v>
      </c>
      <c r="AQ115" s="26">
        <f>IFERROR(PropInfo[[#This Row],[Yardi]]*1,PropInfo[[#This Row],[Yardi]])</f>
        <v>162</v>
      </c>
    </row>
    <row r="116" spans="1:43" x14ac:dyDescent="0.2">
      <c r="A116" s="43" t="s">
        <v>665</v>
      </c>
      <c r="B116" s="19" t="s">
        <v>666</v>
      </c>
      <c r="C116" s="37">
        <v>302</v>
      </c>
      <c r="D116" s="37">
        <v>220066</v>
      </c>
      <c r="E116" s="19" t="s" vm="52">
        <v>1368</v>
      </c>
      <c r="F116" s="19" t="s">
        <v>1409</v>
      </c>
      <c r="G116" s="19" t="s">
        <v>781</v>
      </c>
      <c r="H116" s="19" t="s">
        <v>666</v>
      </c>
      <c r="I116" s="19" t="s">
        <v>1105</v>
      </c>
      <c r="J116" s="19" t="s">
        <v>91</v>
      </c>
      <c r="K116" s="19" t="s">
        <v>27</v>
      </c>
      <c r="L116" s="19">
        <v>98005</v>
      </c>
      <c r="M116" s="19">
        <v>47.619846799999998</v>
      </c>
      <c r="N116" s="19">
        <v>-122.1595792</v>
      </c>
      <c r="O116" s="19" t="s">
        <v>1090</v>
      </c>
      <c r="P116" s="19" t="s">
        <v>1412</v>
      </c>
      <c r="Q116" s="19" t="s">
        <v>1091</v>
      </c>
      <c r="R116" s="19" t="s">
        <v>1092</v>
      </c>
      <c r="S116" s="19" t="s">
        <v>1093</v>
      </c>
      <c r="T116" s="19" t="s">
        <v>1100</v>
      </c>
      <c r="U116" s="19" t="s">
        <v>790</v>
      </c>
      <c r="V116" s="19" t="s">
        <v>782</v>
      </c>
      <c r="W116" s="20">
        <v>1</v>
      </c>
      <c r="X116" s="39">
        <v>1978</v>
      </c>
      <c r="Y116" s="39">
        <v>1990</v>
      </c>
      <c r="Z116" s="25">
        <v>32933</v>
      </c>
      <c r="AA116" s="19">
        <v>1991</v>
      </c>
      <c r="AB116" s="25">
        <v>32993</v>
      </c>
      <c r="AC116" s="19" t="s">
        <v>783</v>
      </c>
      <c r="AD116" s="19" t="s">
        <v>784</v>
      </c>
      <c r="AE116" s="21" t="s">
        <v>1494</v>
      </c>
      <c r="AF116" s="19">
        <v>3</v>
      </c>
      <c r="AG116" s="19">
        <v>28</v>
      </c>
      <c r="AH116" s="19" t="s">
        <v>792</v>
      </c>
      <c r="AI116" s="19"/>
      <c r="AJ116" s="19"/>
      <c r="AK116" s="19"/>
      <c r="AL116" s="43" t="s">
        <v>665</v>
      </c>
      <c r="AM116" s="19">
        <v>28</v>
      </c>
      <c r="AN116" s="19" t="s">
        <v>1403</v>
      </c>
      <c r="AO116" s="19" t="s">
        <v>1348</v>
      </c>
      <c r="AP116" s="19">
        <v>1156</v>
      </c>
      <c r="AQ116" s="26">
        <f>IFERROR(PropInfo[[#This Row],[Yardi]]*1,PropInfo[[#This Row],[Yardi]])</f>
        <v>163</v>
      </c>
    </row>
    <row r="117" spans="1:43" x14ac:dyDescent="0.2">
      <c r="A117" s="43" t="s">
        <v>648</v>
      </c>
      <c r="B117" s="19" t="s">
        <v>1112</v>
      </c>
      <c r="C117" s="37">
        <v>156</v>
      </c>
      <c r="D117" s="37">
        <v>124366</v>
      </c>
      <c r="E117" s="19" t="s" vm="55">
        <v>1368</v>
      </c>
      <c r="F117" s="19" t="s">
        <v>1409</v>
      </c>
      <c r="G117" s="19" t="s">
        <v>781</v>
      </c>
      <c r="H117" s="19" t="s">
        <v>1112</v>
      </c>
      <c r="I117" s="19" t="s">
        <v>1113</v>
      </c>
      <c r="J117" s="19" t="s">
        <v>649</v>
      </c>
      <c r="K117" s="19" t="s">
        <v>27</v>
      </c>
      <c r="L117" s="19">
        <v>98031</v>
      </c>
      <c r="M117" s="19">
        <v>47.386955</v>
      </c>
      <c r="N117" s="19">
        <v>-122.168396</v>
      </c>
      <c r="O117" s="19" t="s">
        <v>1090</v>
      </c>
      <c r="P117" s="19" t="s">
        <v>1412</v>
      </c>
      <c r="Q117" s="19" t="s">
        <v>1091</v>
      </c>
      <c r="R117" s="19" t="s">
        <v>1092</v>
      </c>
      <c r="S117" s="19" t="s">
        <v>1114</v>
      </c>
      <c r="T117" s="19" t="s">
        <v>1115</v>
      </c>
      <c r="U117" s="19" t="s">
        <v>790</v>
      </c>
      <c r="V117" s="19" t="s">
        <v>782</v>
      </c>
      <c r="W117" s="20">
        <v>1</v>
      </c>
      <c r="X117" s="39">
        <v>1986</v>
      </c>
      <c r="Y117" s="39">
        <v>1995</v>
      </c>
      <c r="Z117" s="25">
        <v>35019</v>
      </c>
      <c r="AA117" s="19">
        <v>1996</v>
      </c>
      <c r="AB117" s="25">
        <v>35064</v>
      </c>
      <c r="AC117" s="19" t="s">
        <v>783</v>
      </c>
      <c r="AD117" s="19" t="s">
        <v>784</v>
      </c>
      <c r="AE117" s="21" t="s">
        <v>1494</v>
      </c>
      <c r="AF117" s="19">
        <v>3</v>
      </c>
      <c r="AG117" s="19">
        <v>23</v>
      </c>
      <c r="AH117" s="19" t="s">
        <v>870</v>
      </c>
      <c r="AI117" s="19" t="s">
        <v>1386</v>
      </c>
      <c r="AJ117" s="19">
        <v>32</v>
      </c>
      <c r="AK117" s="19">
        <v>2019</v>
      </c>
      <c r="AL117" s="43" t="s">
        <v>648</v>
      </c>
      <c r="AM117" s="19">
        <v>0</v>
      </c>
      <c r="AN117" s="19" t="s">
        <v>1406</v>
      </c>
      <c r="AO117" s="19" t="s">
        <v>1353</v>
      </c>
      <c r="AP117" s="19">
        <v>1192</v>
      </c>
      <c r="AQ117" s="26">
        <f>IFERROR(PropInfo[[#This Row],[Yardi]]*1,PropInfo[[#This Row],[Yardi]])</f>
        <v>164</v>
      </c>
    </row>
    <row r="118" spans="1:43" x14ac:dyDescent="0.2">
      <c r="A118" s="43" t="s">
        <v>650</v>
      </c>
      <c r="B118" s="19" t="s">
        <v>816</v>
      </c>
      <c r="C118" s="37">
        <v>238</v>
      </c>
      <c r="D118" s="37">
        <v>219642</v>
      </c>
      <c r="E118" s="19" t="s" vm="108">
        <v>1368</v>
      </c>
      <c r="F118" s="19" t="s">
        <v>1409</v>
      </c>
      <c r="G118" s="19" t="s">
        <v>781</v>
      </c>
      <c r="H118" s="19" t="s">
        <v>816</v>
      </c>
      <c r="I118" s="19" t="s">
        <v>651</v>
      </c>
      <c r="J118" s="19" t="s">
        <v>9</v>
      </c>
      <c r="K118" s="19" t="s">
        <v>6</v>
      </c>
      <c r="L118" s="19">
        <v>95112</v>
      </c>
      <c r="M118" s="19">
        <v>37.366267999999998</v>
      </c>
      <c r="N118" s="19">
        <v>-121.910698</v>
      </c>
      <c r="O118" s="19" t="s">
        <v>786</v>
      </c>
      <c r="P118" s="19" t="s">
        <v>1414</v>
      </c>
      <c r="Q118" s="19" t="s">
        <v>787</v>
      </c>
      <c r="R118" s="19" t="s">
        <v>5</v>
      </c>
      <c r="S118" s="19" t="s">
        <v>797</v>
      </c>
      <c r="T118" s="19" t="s">
        <v>805</v>
      </c>
      <c r="U118" s="19" t="s">
        <v>790</v>
      </c>
      <c r="V118" s="19" t="s">
        <v>782</v>
      </c>
      <c r="W118" s="20">
        <v>1</v>
      </c>
      <c r="X118" s="39">
        <v>2000</v>
      </c>
      <c r="Y118" s="39">
        <v>2000</v>
      </c>
      <c r="Z118" s="25">
        <v>36691</v>
      </c>
      <c r="AA118" s="19">
        <v>2001</v>
      </c>
      <c r="AB118" s="25">
        <v>36738</v>
      </c>
      <c r="AC118" s="19" t="s">
        <v>783</v>
      </c>
      <c r="AD118" s="19" t="s">
        <v>796</v>
      </c>
      <c r="AE118" s="21">
        <v>0</v>
      </c>
      <c r="AF118" s="19">
        <v>3</v>
      </c>
      <c r="AG118" s="19">
        <v>6</v>
      </c>
      <c r="AH118" s="19" t="s">
        <v>785</v>
      </c>
      <c r="AI118" s="19" t="s">
        <v>1387</v>
      </c>
      <c r="AJ118" s="19">
        <v>36</v>
      </c>
      <c r="AK118" s="19">
        <v>2030</v>
      </c>
      <c r="AL118" s="43" t="s">
        <v>650</v>
      </c>
      <c r="AM118" s="19">
        <v>0</v>
      </c>
      <c r="AN118" s="19" t="s">
        <v>1406</v>
      </c>
      <c r="AO118" s="19" t="s">
        <v>1527</v>
      </c>
      <c r="AP118" s="19">
        <v>9214</v>
      </c>
      <c r="AQ118" s="26">
        <f>IFERROR(PropInfo[[#This Row],[Yardi]]*1,PropInfo[[#This Row],[Yardi]])</f>
        <v>166</v>
      </c>
    </row>
    <row r="119" spans="1:43" x14ac:dyDescent="0.2">
      <c r="A119" s="43" t="s">
        <v>644</v>
      </c>
      <c r="B119" s="19" t="s">
        <v>645</v>
      </c>
      <c r="C119" s="37">
        <v>163</v>
      </c>
      <c r="D119" s="37">
        <v>146750</v>
      </c>
      <c r="E119" s="19" t="s" vm="202">
        <v>1368</v>
      </c>
      <c r="F119" s="19" t="s">
        <v>1409</v>
      </c>
      <c r="G119" s="19" t="s">
        <v>781</v>
      </c>
      <c r="H119" s="19" t="s">
        <v>645</v>
      </c>
      <c r="I119" s="19" t="s">
        <v>646</v>
      </c>
      <c r="J119" s="19" t="s">
        <v>647</v>
      </c>
      <c r="K119" s="19" t="s">
        <v>6</v>
      </c>
      <c r="L119" s="19">
        <v>91789</v>
      </c>
      <c r="M119" s="19">
        <v>34.044193</v>
      </c>
      <c r="N119" s="19">
        <v>-117.85013600000001</v>
      </c>
      <c r="O119" s="19" t="s">
        <v>929</v>
      </c>
      <c r="P119" s="19" t="s">
        <v>1413</v>
      </c>
      <c r="Q119" s="19" t="s">
        <v>930</v>
      </c>
      <c r="R119" s="19" t="s">
        <v>21</v>
      </c>
      <c r="S119" s="19" t="s">
        <v>1232</v>
      </c>
      <c r="T119" s="19" t="s">
        <v>934</v>
      </c>
      <c r="U119" s="19" t="s">
        <v>790</v>
      </c>
      <c r="V119" s="19" t="s">
        <v>782</v>
      </c>
      <c r="W119" s="20">
        <v>1</v>
      </c>
      <c r="X119" s="39">
        <v>1964</v>
      </c>
      <c r="Y119" s="39">
        <v>2003</v>
      </c>
      <c r="Z119" s="25">
        <v>37917</v>
      </c>
      <c r="AA119" s="19">
        <v>2004</v>
      </c>
      <c r="AB119" s="25">
        <v>37955</v>
      </c>
      <c r="AC119" s="19" t="s">
        <v>783</v>
      </c>
      <c r="AD119" s="19" t="s">
        <v>784</v>
      </c>
      <c r="AE119" s="21">
        <v>0</v>
      </c>
      <c r="AF119" s="19">
        <v>2</v>
      </c>
      <c r="AG119" s="19">
        <v>13</v>
      </c>
      <c r="AH119" s="19" t="s">
        <v>870</v>
      </c>
      <c r="AI119" s="19"/>
      <c r="AJ119" s="19"/>
      <c r="AK119" s="19"/>
      <c r="AL119" s="43" t="s">
        <v>644</v>
      </c>
      <c r="AM119" s="19">
        <v>10</v>
      </c>
      <c r="AN119" s="19" t="s">
        <v>1403</v>
      </c>
      <c r="AO119" s="19" t="s">
        <v>1359</v>
      </c>
      <c r="AP119" s="19">
        <v>14071</v>
      </c>
      <c r="AQ119" s="26">
        <f>IFERROR(PropInfo[[#This Row],[Yardi]]*1,PropInfo[[#This Row],[Yardi]])</f>
        <v>167</v>
      </c>
    </row>
    <row r="120" spans="1:43" hidden="1" x14ac:dyDescent="0.2">
      <c r="A120" s="47" t="s">
        <v>1578</v>
      </c>
      <c r="B120" s="19" t="s">
        <v>1579</v>
      </c>
      <c r="C120" s="37">
        <v>769</v>
      </c>
      <c r="D120" s="37">
        <v>678841</v>
      </c>
      <c r="E120" s="19" t="s">
        <v>1369</v>
      </c>
      <c r="F120" s="19" t="s">
        <v>1409</v>
      </c>
      <c r="G120" s="19" t="s">
        <v>781</v>
      </c>
      <c r="H120" s="19" t="s">
        <v>818</v>
      </c>
      <c r="I120" s="19" t="s">
        <v>262</v>
      </c>
      <c r="J120" s="19" t="s">
        <v>9</v>
      </c>
      <c r="K120" s="19" t="s">
        <v>6</v>
      </c>
      <c r="L120" s="19">
        <v>95134</v>
      </c>
      <c r="M120" s="19">
        <v>37.399349000000001</v>
      </c>
      <c r="N120" s="19">
        <v>-121.92040299999999</v>
      </c>
      <c r="O120" s="19" t="s">
        <v>786</v>
      </c>
      <c r="P120" s="19" t="s">
        <v>1414</v>
      </c>
      <c r="Q120" s="19" t="s">
        <v>787</v>
      </c>
      <c r="R120" s="19" t="s">
        <v>5</v>
      </c>
      <c r="S120" s="19" t="s">
        <v>797</v>
      </c>
      <c r="T120" s="19" t="s">
        <v>798</v>
      </c>
      <c r="U120" s="19" t="s">
        <v>779</v>
      </c>
      <c r="V120" s="19" t="s">
        <v>817</v>
      </c>
      <c r="W120" s="20">
        <v>1</v>
      </c>
      <c r="X120" s="39">
        <v>2015</v>
      </c>
      <c r="Y120" s="39">
        <v>2011</v>
      </c>
      <c r="Z120" s="25">
        <v>39105</v>
      </c>
      <c r="AA120" s="19">
        <v>2015</v>
      </c>
      <c r="AB120" s="25">
        <v>41852</v>
      </c>
      <c r="AC120" s="19" t="s">
        <v>783</v>
      </c>
      <c r="AD120" s="19" t="s">
        <v>800</v>
      </c>
      <c r="AE120" s="21">
        <v>769</v>
      </c>
      <c r="AF120" s="19">
        <v>5</v>
      </c>
      <c r="AG120" s="19">
        <v>5</v>
      </c>
      <c r="AH120" s="19" t="s">
        <v>792</v>
      </c>
      <c r="AI120" s="19"/>
      <c r="AJ120" s="19"/>
      <c r="AK120" s="19"/>
      <c r="AL120" s="43"/>
      <c r="AM120" s="19">
        <v>0</v>
      </c>
      <c r="AN120" s="19" t="s">
        <v>1406</v>
      </c>
      <c r="AO120" s="19" t="s">
        <v>1600</v>
      </c>
      <c r="AP120" s="19" t="s">
        <v>1505</v>
      </c>
      <c r="AQ120" s="26">
        <f>IFERROR(PropInfo[[#This Row],[Yardi]]*1,PropInfo[[#This Row],[Yardi]])</f>
        <v>364</v>
      </c>
    </row>
    <row r="121" spans="1:43" x14ac:dyDescent="0.2">
      <c r="A121" s="43" t="s">
        <v>652</v>
      </c>
      <c r="B121" s="19" t="s">
        <v>653</v>
      </c>
      <c r="C121" s="37">
        <v>155</v>
      </c>
      <c r="D121" s="37">
        <v>118637</v>
      </c>
      <c r="E121" s="19" t="s" vm="53">
        <v>1368</v>
      </c>
      <c r="F121" s="19" t="s">
        <v>1409</v>
      </c>
      <c r="G121" s="19" t="s">
        <v>781</v>
      </c>
      <c r="H121" s="19" t="s">
        <v>653</v>
      </c>
      <c r="I121" s="19" t="s">
        <v>1146</v>
      </c>
      <c r="J121" s="19" t="s">
        <v>26</v>
      </c>
      <c r="K121" s="19" t="s">
        <v>27</v>
      </c>
      <c r="L121" s="19">
        <v>98119</v>
      </c>
      <c r="M121" s="19">
        <v>47.654212999999999</v>
      </c>
      <c r="N121" s="19">
        <v>-122.37496899999999</v>
      </c>
      <c r="O121" s="19" t="s">
        <v>1090</v>
      </c>
      <c r="P121" s="19" t="s">
        <v>1412</v>
      </c>
      <c r="Q121" s="19" t="s">
        <v>1091</v>
      </c>
      <c r="R121" s="19" t="s">
        <v>1092</v>
      </c>
      <c r="S121" s="19" t="s">
        <v>1134</v>
      </c>
      <c r="T121" s="19" t="s">
        <v>1138</v>
      </c>
      <c r="U121" s="19" t="s">
        <v>790</v>
      </c>
      <c r="V121" s="19" t="s">
        <v>782</v>
      </c>
      <c r="W121" s="20">
        <v>1</v>
      </c>
      <c r="X121" s="39">
        <v>1990</v>
      </c>
      <c r="Y121" s="39">
        <v>1994</v>
      </c>
      <c r="Z121" s="25">
        <v>34486</v>
      </c>
      <c r="AA121" s="19">
        <v>1995</v>
      </c>
      <c r="AB121" s="25">
        <v>34546</v>
      </c>
      <c r="AC121" s="19" t="s">
        <v>783</v>
      </c>
      <c r="AD121" s="19" t="s">
        <v>800</v>
      </c>
      <c r="AE121" s="21" t="s">
        <v>1494</v>
      </c>
      <c r="AF121" s="19">
        <v>4</v>
      </c>
      <c r="AG121" s="19">
        <v>5</v>
      </c>
      <c r="AH121" s="19" t="s">
        <v>785</v>
      </c>
      <c r="AI121" s="19"/>
      <c r="AJ121" s="19"/>
      <c r="AK121" s="19"/>
      <c r="AL121" s="43" t="s">
        <v>652</v>
      </c>
      <c r="AM121" s="19">
        <v>0</v>
      </c>
      <c r="AN121" s="19" t="s">
        <v>1406</v>
      </c>
      <c r="AO121" s="19" t="s">
        <v>1365</v>
      </c>
      <c r="AP121" s="19">
        <v>1193</v>
      </c>
      <c r="AQ121" s="26">
        <f>IFERROR(PropInfo[[#This Row],[Yardi]]*1,PropInfo[[#This Row],[Yardi]])</f>
        <v>168</v>
      </c>
    </row>
    <row r="122" spans="1:43" hidden="1" x14ac:dyDescent="0.2">
      <c r="A122" s="43" t="s">
        <v>266</v>
      </c>
      <c r="B122" s="19" t="s">
        <v>267</v>
      </c>
      <c r="C122" s="37">
        <v>5</v>
      </c>
      <c r="D122" s="37">
        <v>4541</v>
      </c>
      <c r="E122" s="19" t="s">
        <v>762</v>
      </c>
      <c r="F122" s="19" t="s">
        <v>1409</v>
      </c>
      <c r="G122" s="19" t="s">
        <v>835</v>
      </c>
      <c r="H122" s="19" t="s">
        <v>264</v>
      </c>
      <c r="I122" s="19" t="s">
        <v>821</v>
      </c>
      <c r="J122" s="19" t="s">
        <v>9</v>
      </c>
      <c r="K122" s="19" t="s">
        <v>6</v>
      </c>
      <c r="L122" s="19">
        <v>95112</v>
      </c>
      <c r="M122" s="19">
        <v>32.9030038</v>
      </c>
      <c r="N122" s="19">
        <v>-117.1440094</v>
      </c>
      <c r="O122" s="19" t="s">
        <v>786</v>
      </c>
      <c r="P122" s="19" t="s">
        <v>1414</v>
      </c>
      <c r="Q122" s="19" t="s">
        <v>787</v>
      </c>
      <c r="R122" s="19" t="s">
        <v>5</v>
      </c>
      <c r="S122" s="19" t="s">
        <v>797</v>
      </c>
      <c r="T122" s="19" t="s">
        <v>805</v>
      </c>
      <c r="U122" s="19" t="s">
        <v>790</v>
      </c>
      <c r="V122" s="19" t="s">
        <v>782</v>
      </c>
      <c r="W122" s="20">
        <v>1</v>
      </c>
      <c r="X122" s="39">
        <v>2002</v>
      </c>
      <c r="Y122" s="39">
        <v>2004</v>
      </c>
      <c r="Z122" s="25">
        <v>38296</v>
      </c>
      <c r="AA122" s="19">
        <v>2005</v>
      </c>
      <c r="AB122" s="25">
        <v>38352</v>
      </c>
      <c r="AC122" s="19" t="s">
        <v>804</v>
      </c>
      <c r="AD122" s="19" t="s">
        <v>796</v>
      </c>
      <c r="AE122" s="21">
        <v>0</v>
      </c>
      <c r="AF122" s="19">
        <v>3</v>
      </c>
      <c r="AG122" s="19">
        <v>7</v>
      </c>
      <c r="AH122" s="19" t="s">
        <v>792</v>
      </c>
      <c r="AI122" s="19"/>
      <c r="AJ122" s="19"/>
      <c r="AK122" s="19"/>
      <c r="AL122" s="43" t="e">
        <v>#N/A</v>
      </c>
      <c r="AM122" s="19" t="e">
        <v>#N/A</v>
      </c>
      <c r="AN122" s="19" t="e">
        <v>#N/A</v>
      </c>
      <c r="AO122" s="19"/>
      <c r="AP122" s="19">
        <v>0</v>
      </c>
      <c r="AQ122" s="26">
        <f>IFERROR(PropInfo[[#This Row],[Yardi]]*1,PropInfo[[#This Row],[Yardi]])</f>
        <v>227</v>
      </c>
    </row>
    <row r="123" spans="1:43" x14ac:dyDescent="0.2">
      <c r="A123" s="43" t="s">
        <v>657</v>
      </c>
      <c r="B123" s="19" t="s">
        <v>658</v>
      </c>
      <c r="C123" s="37">
        <v>149</v>
      </c>
      <c r="D123" s="37">
        <v>128130</v>
      </c>
      <c r="E123" s="19" t="s" vm="58">
        <v>1368</v>
      </c>
      <c r="F123" s="19" t="s">
        <v>1409</v>
      </c>
      <c r="G123" s="19" t="s">
        <v>781</v>
      </c>
      <c r="H123" s="19" t="s">
        <v>658</v>
      </c>
      <c r="I123" s="19" t="s">
        <v>1029</v>
      </c>
      <c r="J123" s="19" t="s">
        <v>160</v>
      </c>
      <c r="K123" s="19" t="s">
        <v>6</v>
      </c>
      <c r="L123" s="19">
        <v>92832</v>
      </c>
      <c r="M123" s="19">
        <v>33.872630999999998</v>
      </c>
      <c r="N123" s="19">
        <v>-117.926918</v>
      </c>
      <c r="O123" s="19" t="s">
        <v>929</v>
      </c>
      <c r="P123" s="19" t="s">
        <v>1415</v>
      </c>
      <c r="Q123" s="19" t="s">
        <v>1017</v>
      </c>
      <c r="R123" s="19" t="s">
        <v>510</v>
      </c>
      <c r="S123" s="19" t="s">
        <v>1018</v>
      </c>
      <c r="T123" s="19" t="s">
        <v>160</v>
      </c>
      <c r="U123" s="19" t="s">
        <v>790</v>
      </c>
      <c r="V123" s="19" t="s">
        <v>782</v>
      </c>
      <c r="W123" s="20">
        <v>1</v>
      </c>
      <c r="X123" s="39">
        <v>1992</v>
      </c>
      <c r="Y123" s="39">
        <v>1997</v>
      </c>
      <c r="Z123" s="25">
        <v>35433</v>
      </c>
      <c r="AA123" s="19">
        <v>1998</v>
      </c>
      <c r="AB123" s="25">
        <v>35489</v>
      </c>
      <c r="AC123" s="19" t="s">
        <v>804</v>
      </c>
      <c r="AD123" s="19" t="s">
        <v>800</v>
      </c>
      <c r="AE123" s="21">
        <v>0</v>
      </c>
      <c r="AF123" s="19">
        <v>5</v>
      </c>
      <c r="AG123" s="19">
        <v>1</v>
      </c>
      <c r="AH123" s="19" t="s">
        <v>953</v>
      </c>
      <c r="AI123" s="19"/>
      <c r="AJ123" s="19"/>
      <c r="AK123" s="19"/>
      <c r="AL123" s="43" t="s">
        <v>657</v>
      </c>
      <c r="AM123" s="19">
        <v>41</v>
      </c>
      <c r="AN123" s="19" t="s">
        <v>1403</v>
      </c>
      <c r="AO123" s="19" t="s">
        <v>1529</v>
      </c>
      <c r="AP123" s="19" t="s">
        <v>1508</v>
      </c>
      <c r="AQ123" s="26">
        <f>IFERROR(PropInfo[[#This Row],[Yardi]]*1,PropInfo[[#This Row],[Yardi]])</f>
        <v>169</v>
      </c>
    </row>
    <row r="124" spans="1:43" x14ac:dyDescent="0.2">
      <c r="A124" s="43" t="s">
        <v>663</v>
      </c>
      <c r="B124" s="19" t="s">
        <v>664</v>
      </c>
      <c r="C124" s="37">
        <v>216</v>
      </c>
      <c r="D124" s="37">
        <v>180660</v>
      </c>
      <c r="E124" s="19" t="s" vm="109">
        <v>1368</v>
      </c>
      <c r="F124" s="19" t="s">
        <v>1409</v>
      </c>
      <c r="G124" s="19" t="s">
        <v>781</v>
      </c>
      <c r="H124" s="19" t="s">
        <v>664</v>
      </c>
      <c r="I124" s="19" t="s">
        <v>845</v>
      </c>
      <c r="J124" s="19" t="s">
        <v>138</v>
      </c>
      <c r="K124" s="19" t="s">
        <v>6</v>
      </c>
      <c r="L124" s="19">
        <v>94086</v>
      </c>
      <c r="M124" s="19">
        <v>37.372162000000003</v>
      </c>
      <c r="N124" s="19">
        <v>-122.014824</v>
      </c>
      <c r="O124" s="19" t="s">
        <v>786</v>
      </c>
      <c r="P124" s="19" t="s">
        <v>1414</v>
      </c>
      <c r="Q124" s="19" t="s">
        <v>787</v>
      </c>
      <c r="R124" s="19" t="s">
        <v>5</v>
      </c>
      <c r="S124" s="19" t="s">
        <v>788</v>
      </c>
      <c r="T124" s="19" t="s">
        <v>843</v>
      </c>
      <c r="U124" s="19" t="s">
        <v>790</v>
      </c>
      <c r="V124" s="19" t="s">
        <v>782</v>
      </c>
      <c r="W124" s="20">
        <v>1</v>
      </c>
      <c r="X124" s="39">
        <v>1989</v>
      </c>
      <c r="Y124" s="39">
        <v>1989</v>
      </c>
      <c r="Z124" s="25">
        <v>32568</v>
      </c>
      <c r="AA124" s="19">
        <v>1990</v>
      </c>
      <c r="AB124" s="25">
        <v>32628</v>
      </c>
      <c r="AC124" s="19" t="s">
        <v>783</v>
      </c>
      <c r="AD124" s="19" t="s">
        <v>784</v>
      </c>
      <c r="AE124" s="21">
        <v>0</v>
      </c>
      <c r="AF124" s="19">
        <v>4</v>
      </c>
      <c r="AG124" s="19">
        <v>6</v>
      </c>
      <c r="AH124" s="19" t="s">
        <v>792</v>
      </c>
      <c r="AI124" s="19"/>
      <c r="AJ124" s="19"/>
      <c r="AK124" s="19"/>
      <c r="AL124" s="43" t="s">
        <v>663</v>
      </c>
      <c r="AM124" s="19">
        <v>25</v>
      </c>
      <c r="AN124" s="19" t="s">
        <v>1403</v>
      </c>
      <c r="AO124" s="19" t="s">
        <v>1527</v>
      </c>
      <c r="AP124" s="19">
        <v>1195</v>
      </c>
      <c r="AQ124" s="26">
        <f>IFERROR(PropInfo[[#This Row],[Yardi]]*1,PropInfo[[#This Row],[Yardi]])</f>
        <v>170</v>
      </c>
    </row>
    <row r="125" spans="1:43" hidden="1" x14ac:dyDescent="0.2">
      <c r="A125" s="43" t="s">
        <v>1223</v>
      </c>
      <c r="B125" s="19" t="s">
        <v>1397</v>
      </c>
      <c r="C125" s="37"/>
      <c r="D125" s="37"/>
      <c r="E125" s="19" t="s" vm="14">
        <v>1369</v>
      </c>
      <c r="F125" s="19" t="s">
        <v>1411</v>
      </c>
      <c r="G125" s="19" t="s">
        <v>781</v>
      </c>
      <c r="H125" s="19" t="s">
        <v>1397</v>
      </c>
      <c r="I125" s="19" t="s">
        <v>969</v>
      </c>
      <c r="J125" s="19" t="s">
        <v>354</v>
      </c>
      <c r="K125" s="19" t="s">
        <v>6</v>
      </c>
      <c r="L125" s="19">
        <v>90028</v>
      </c>
      <c r="M125" s="19">
        <v>34.097676999999997</v>
      </c>
      <c r="N125" s="19">
        <v>-118.325349</v>
      </c>
      <c r="O125" s="19" t="s">
        <v>929</v>
      </c>
      <c r="P125" s="19" t="s">
        <v>1413</v>
      </c>
      <c r="Q125" s="19" t="s">
        <v>930</v>
      </c>
      <c r="R125" s="19" t="s">
        <v>21</v>
      </c>
      <c r="S125" s="19" t="s">
        <v>956</v>
      </c>
      <c r="T125" s="19" t="s">
        <v>354</v>
      </c>
      <c r="U125" s="19" t="s">
        <v>779</v>
      </c>
      <c r="V125" s="19" t="s">
        <v>782</v>
      </c>
      <c r="W125" s="20">
        <v>1</v>
      </c>
      <c r="X125" s="39">
        <v>2019</v>
      </c>
      <c r="Y125" s="39">
        <v>2017</v>
      </c>
      <c r="Z125" s="25">
        <v>38917</v>
      </c>
      <c r="AA125" s="19"/>
      <c r="AB125" s="25"/>
      <c r="AC125" s="19" t="s">
        <v>804</v>
      </c>
      <c r="AD125" s="19" t="s">
        <v>800</v>
      </c>
      <c r="AE125" s="21">
        <v>0</v>
      </c>
      <c r="AF125" s="19">
        <v>7</v>
      </c>
      <c r="AG125" s="19">
        <v>1</v>
      </c>
      <c r="AH125" s="19"/>
      <c r="AI125" s="19"/>
      <c r="AJ125" s="19"/>
      <c r="AK125" s="19"/>
      <c r="AL125" s="43" t="e">
        <v>#N/A</v>
      </c>
      <c r="AM125" s="19" t="e">
        <v>#N/A</v>
      </c>
      <c r="AN125" s="19" t="e">
        <v>#N/A</v>
      </c>
      <c r="AO125" s="19" t="s">
        <v>1565</v>
      </c>
      <c r="AP125" s="19" t="e">
        <v>#N/A</v>
      </c>
      <c r="AQ125" s="26" t="str">
        <f>IFERROR(PropInfo[[#This Row],[Yardi]]*1,PropInfo[[#This Row],[Yardi]])</f>
        <v>DEV1</v>
      </c>
    </row>
    <row r="126" spans="1:43" hidden="1" x14ac:dyDescent="0.2">
      <c r="A126" s="43" t="s">
        <v>1222</v>
      </c>
      <c r="B126" s="19" t="s">
        <v>1398</v>
      </c>
      <c r="C126" s="37"/>
      <c r="D126" s="37"/>
      <c r="E126" s="19" t="s">
        <v>1369</v>
      </c>
      <c r="F126" s="19" t="s">
        <v>1411</v>
      </c>
      <c r="G126" s="19" t="s">
        <v>835</v>
      </c>
      <c r="H126" s="19" t="s">
        <v>1397</v>
      </c>
      <c r="I126" s="19" t="s">
        <v>969</v>
      </c>
      <c r="J126" s="19" t="s">
        <v>354</v>
      </c>
      <c r="K126" s="19" t="s">
        <v>6</v>
      </c>
      <c r="L126" s="19">
        <v>90028</v>
      </c>
      <c r="M126" s="19">
        <v>34.097676999999997</v>
      </c>
      <c r="N126" s="19">
        <v>-118.325349</v>
      </c>
      <c r="O126" s="19" t="s">
        <v>929</v>
      </c>
      <c r="P126" s="19" t="s">
        <v>1413</v>
      </c>
      <c r="Q126" s="19" t="s">
        <v>930</v>
      </c>
      <c r="R126" s="19" t="s">
        <v>21</v>
      </c>
      <c r="S126" s="19" t="s">
        <v>956</v>
      </c>
      <c r="T126" s="19" t="s">
        <v>354</v>
      </c>
      <c r="U126" s="19" t="s">
        <v>779</v>
      </c>
      <c r="V126" s="19" t="s">
        <v>782</v>
      </c>
      <c r="W126" s="20">
        <v>1</v>
      </c>
      <c r="X126" s="39">
        <v>2019</v>
      </c>
      <c r="Y126" s="39">
        <v>2017</v>
      </c>
      <c r="Z126" s="25">
        <v>38917</v>
      </c>
      <c r="AA126" s="19"/>
      <c r="AB126" s="25"/>
      <c r="AC126" s="19" t="s">
        <v>804</v>
      </c>
      <c r="AD126" s="19" t="s">
        <v>800</v>
      </c>
      <c r="AE126" s="21">
        <v>0</v>
      </c>
      <c r="AF126" s="19">
        <v>7</v>
      </c>
      <c r="AG126" s="19">
        <v>1</v>
      </c>
      <c r="AH126" s="19"/>
      <c r="AI126" s="19"/>
      <c r="AJ126" s="19"/>
      <c r="AK126" s="19"/>
      <c r="AL126" s="43" t="e">
        <v>#N/A</v>
      </c>
      <c r="AM126" s="19" t="e">
        <v>#N/A</v>
      </c>
      <c r="AN126" s="19" t="e">
        <v>#N/A</v>
      </c>
      <c r="AO126" s="19" t="s">
        <v>1565</v>
      </c>
      <c r="AP126" s="19" t="e">
        <v>#N/A</v>
      </c>
      <c r="AQ126" s="26" t="str">
        <f>IFERROR(PropInfo[[#This Row],[Yardi]]*1,PropInfo[[#This Row],[Yardi]])</f>
        <v>DEV2</v>
      </c>
    </row>
    <row r="127" spans="1:43" x14ac:dyDescent="0.2">
      <c r="A127" s="43" t="s">
        <v>320</v>
      </c>
      <c r="B127" s="19" t="s">
        <v>982</v>
      </c>
      <c r="C127" s="37">
        <v>292</v>
      </c>
      <c r="D127" s="37">
        <v>241779</v>
      </c>
      <c r="E127" s="19" t="s" vm="203">
        <v>1368</v>
      </c>
      <c r="F127" s="19" t="s">
        <v>1409</v>
      </c>
      <c r="G127" s="19" t="s">
        <v>781</v>
      </c>
      <c r="H127" s="19" t="s">
        <v>982</v>
      </c>
      <c r="I127" s="19" t="s">
        <v>983</v>
      </c>
      <c r="J127" s="19" t="s">
        <v>321</v>
      </c>
      <c r="K127" s="19" t="s">
        <v>6</v>
      </c>
      <c r="L127" s="19">
        <v>91101</v>
      </c>
      <c r="M127" s="19">
        <v>34.140971999999998</v>
      </c>
      <c r="N127" s="19">
        <v>-118.14241800000001</v>
      </c>
      <c r="O127" s="19" t="s">
        <v>929</v>
      </c>
      <c r="P127" s="19" t="s">
        <v>1413</v>
      </c>
      <c r="Q127" s="19" t="s">
        <v>930</v>
      </c>
      <c r="R127" s="19" t="s">
        <v>21</v>
      </c>
      <c r="S127" s="19" t="s">
        <v>931</v>
      </c>
      <c r="T127" s="19" t="s">
        <v>932</v>
      </c>
      <c r="U127" s="19" t="s">
        <v>790</v>
      </c>
      <c r="V127" s="19" t="s">
        <v>782</v>
      </c>
      <c r="W127" s="20">
        <v>1</v>
      </c>
      <c r="X127" s="39">
        <v>1972</v>
      </c>
      <c r="Y127" s="39">
        <v>1997</v>
      </c>
      <c r="Z127" s="25">
        <v>36280</v>
      </c>
      <c r="AA127" s="19">
        <v>2000</v>
      </c>
      <c r="AB127" s="25">
        <v>36311</v>
      </c>
      <c r="AC127" s="19" t="s">
        <v>783</v>
      </c>
      <c r="AD127" s="19" t="s">
        <v>800</v>
      </c>
      <c r="AE127" s="21">
        <v>292</v>
      </c>
      <c r="AF127" s="19">
        <v>4</v>
      </c>
      <c r="AG127" s="19">
        <v>1</v>
      </c>
      <c r="AH127" s="19" t="s">
        <v>792</v>
      </c>
      <c r="AI127" s="19"/>
      <c r="AJ127" s="19"/>
      <c r="AK127" s="19"/>
      <c r="AL127" s="43" t="s">
        <v>320</v>
      </c>
      <c r="AM127" s="19">
        <v>34</v>
      </c>
      <c r="AN127" s="19" t="s">
        <v>1403</v>
      </c>
      <c r="AO127" s="19" t="s">
        <v>1589</v>
      </c>
      <c r="AP127" s="19" t="s">
        <v>1507</v>
      </c>
      <c r="AQ127" s="26">
        <f>IFERROR(PropInfo[[#This Row],[Yardi]]*1,PropInfo[[#This Row],[Yardi]])</f>
        <v>171</v>
      </c>
    </row>
    <row r="128" spans="1:43" x14ac:dyDescent="0.2">
      <c r="A128" s="43" t="s">
        <v>194</v>
      </c>
      <c r="B128" s="19" t="s">
        <v>1421</v>
      </c>
      <c r="C128" s="37">
        <v>572</v>
      </c>
      <c r="D128" s="37">
        <v>476400</v>
      </c>
      <c r="E128" s="19" t="s" vm="54">
        <v>1368</v>
      </c>
      <c r="F128" s="19" t="s">
        <v>1409</v>
      </c>
      <c r="G128" s="19" t="s">
        <v>781</v>
      </c>
      <c r="H128" s="19" t="s">
        <v>1421</v>
      </c>
      <c r="I128" s="19" t="s">
        <v>869</v>
      </c>
      <c r="J128" s="19" t="s">
        <v>193</v>
      </c>
      <c r="K128" s="19" t="s">
        <v>6</v>
      </c>
      <c r="L128" s="19">
        <v>94542</v>
      </c>
      <c r="M128" s="19">
        <v>37.660133000000002</v>
      </c>
      <c r="N128" s="19">
        <v>-122.066704</v>
      </c>
      <c r="O128" s="19" t="s">
        <v>786</v>
      </c>
      <c r="P128" s="19" t="s">
        <v>1414</v>
      </c>
      <c r="Q128" s="19" t="s">
        <v>853</v>
      </c>
      <c r="R128" s="19" t="s">
        <v>854</v>
      </c>
      <c r="S128" s="19" t="s">
        <v>119</v>
      </c>
      <c r="T128" s="19" t="s">
        <v>867</v>
      </c>
      <c r="U128" s="19" t="s">
        <v>790</v>
      </c>
      <c r="V128" s="19" t="s">
        <v>782</v>
      </c>
      <c r="W128" s="20">
        <v>1</v>
      </c>
      <c r="X128" s="39">
        <v>1975</v>
      </c>
      <c r="Y128" s="39">
        <v>1998</v>
      </c>
      <c r="Z128" s="25">
        <v>35857</v>
      </c>
      <c r="AA128" s="19">
        <v>1999</v>
      </c>
      <c r="AB128" s="25">
        <v>35915</v>
      </c>
      <c r="AC128" s="19" t="s">
        <v>783</v>
      </c>
      <c r="AD128" s="19" t="s">
        <v>784</v>
      </c>
      <c r="AE128" s="21">
        <v>0</v>
      </c>
      <c r="AF128" s="19">
        <v>3</v>
      </c>
      <c r="AG128" s="19">
        <v>26</v>
      </c>
      <c r="AH128" s="19" t="s">
        <v>870</v>
      </c>
      <c r="AI128" s="19" t="s">
        <v>1388</v>
      </c>
      <c r="AJ128" s="19">
        <v>1</v>
      </c>
      <c r="AK128" s="19" t="s">
        <v>1379</v>
      </c>
      <c r="AL128" s="43" t="s">
        <v>194</v>
      </c>
      <c r="AM128" s="19">
        <v>0</v>
      </c>
      <c r="AN128" s="19" t="s">
        <v>1406</v>
      </c>
      <c r="AO128" s="19" t="s">
        <v>1569</v>
      </c>
      <c r="AP128" s="19">
        <v>9821</v>
      </c>
      <c r="AQ128" s="26">
        <f>IFERROR(PropInfo[[#This Row],[Yardi]]*1,PropInfo[[#This Row],[Yardi]])</f>
        <v>172</v>
      </c>
    </row>
    <row r="129" spans="1:47" hidden="1" x14ac:dyDescent="0.2">
      <c r="A129" s="43" t="s">
        <v>274</v>
      </c>
      <c r="B129" s="19" t="s">
        <v>275</v>
      </c>
      <c r="C129" s="37">
        <v>12</v>
      </c>
      <c r="D129" s="37">
        <v>18208</v>
      </c>
      <c r="E129" s="19" t="s">
        <v>925</v>
      </c>
      <c r="F129" s="19" t="s">
        <v>1409</v>
      </c>
      <c r="G129" s="19" t="s">
        <v>835</v>
      </c>
      <c r="H129" s="19" t="s">
        <v>272</v>
      </c>
      <c r="I129" s="19" t="s">
        <v>273</v>
      </c>
      <c r="J129" s="19" t="s">
        <v>26</v>
      </c>
      <c r="K129" s="19" t="s">
        <v>27</v>
      </c>
      <c r="L129" s="19">
        <v>98109</v>
      </c>
      <c r="M129" s="19">
        <v>47.623309999999996</v>
      </c>
      <c r="N129" s="19">
        <v>-122.355103</v>
      </c>
      <c r="O129" s="19" t="s">
        <v>1090</v>
      </c>
      <c r="P129" s="19" t="s">
        <v>1412</v>
      </c>
      <c r="Q129" s="19" t="s">
        <v>1091</v>
      </c>
      <c r="R129" s="19" t="s">
        <v>1092</v>
      </c>
      <c r="S129" s="19" t="s">
        <v>1134</v>
      </c>
      <c r="T129" s="19" t="s">
        <v>1138</v>
      </c>
      <c r="U129" s="19" t="s">
        <v>779</v>
      </c>
      <c r="V129" s="19" t="s">
        <v>802</v>
      </c>
      <c r="W129" s="20">
        <v>0.5</v>
      </c>
      <c r="X129" s="39">
        <v>2012</v>
      </c>
      <c r="Y129" s="39">
        <v>2011</v>
      </c>
      <c r="Z129" s="25">
        <v>40617</v>
      </c>
      <c r="AA129" s="19">
        <v>2014</v>
      </c>
      <c r="AB129" s="25">
        <v>41426</v>
      </c>
      <c r="AC129" s="19" t="s">
        <v>804</v>
      </c>
      <c r="AD129" s="19" t="s">
        <v>800</v>
      </c>
      <c r="AE129" s="21">
        <v>0</v>
      </c>
      <c r="AF129" s="19">
        <v>6</v>
      </c>
      <c r="AG129" s="19">
        <v>1</v>
      </c>
      <c r="AH129" s="19" t="s">
        <v>792</v>
      </c>
      <c r="AI129" s="19"/>
      <c r="AJ129" s="19"/>
      <c r="AK129" s="19"/>
      <c r="AL129" s="43" t="e">
        <v>#N/A</v>
      </c>
      <c r="AM129" s="19" t="e">
        <v>#N/A</v>
      </c>
      <c r="AN129" s="19" t="e">
        <v>#N/A</v>
      </c>
      <c r="AO129" s="19" t="s">
        <v>1565</v>
      </c>
      <c r="AP129" s="19">
        <v>0</v>
      </c>
      <c r="AQ129" s="26">
        <f>IFERROR(PropInfo[[#This Row],[Yardi]]*1,PropInfo[[#This Row],[Yardi]])</f>
        <v>221</v>
      </c>
    </row>
    <row r="130" spans="1:47" x14ac:dyDescent="0.2">
      <c r="A130" s="43" t="s">
        <v>576</v>
      </c>
      <c r="B130" s="19" t="s">
        <v>872</v>
      </c>
      <c r="C130" s="37">
        <v>243</v>
      </c>
      <c r="D130" s="37">
        <v>204081</v>
      </c>
      <c r="E130" s="19" t="s" vm="59">
        <v>1368</v>
      </c>
      <c r="F130" s="19" t="s">
        <v>1409</v>
      </c>
      <c r="G130" s="19" t="s">
        <v>781</v>
      </c>
      <c r="H130" s="19" t="s">
        <v>872</v>
      </c>
      <c r="I130" s="19" t="s">
        <v>873</v>
      </c>
      <c r="J130" s="19" t="s">
        <v>507</v>
      </c>
      <c r="K130" s="19" t="s">
        <v>6</v>
      </c>
      <c r="L130" s="19">
        <v>94612</v>
      </c>
      <c r="M130" s="19">
        <v>37.811419999999998</v>
      </c>
      <c r="N130" s="19">
        <v>-122.26520499999999</v>
      </c>
      <c r="O130" s="19" t="s">
        <v>786</v>
      </c>
      <c r="P130" s="19" t="s">
        <v>1414</v>
      </c>
      <c r="Q130" s="19" t="s">
        <v>853</v>
      </c>
      <c r="R130" s="19" t="s">
        <v>854</v>
      </c>
      <c r="S130" s="19" t="s">
        <v>855</v>
      </c>
      <c r="T130" s="19" t="s">
        <v>856</v>
      </c>
      <c r="U130" s="19" t="s">
        <v>779</v>
      </c>
      <c r="V130" s="19" t="s">
        <v>782</v>
      </c>
      <c r="W130" s="20">
        <v>1</v>
      </c>
      <c r="X130" s="39">
        <v>2009</v>
      </c>
      <c r="Y130" s="39">
        <v>2006</v>
      </c>
      <c r="Z130" s="25">
        <v>38590</v>
      </c>
      <c r="AA130" s="19">
        <v>2010</v>
      </c>
      <c r="AB130" s="25">
        <v>40026</v>
      </c>
      <c r="AC130" s="19" t="s">
        <v>804</v>
      </c>
      <c r="AD130" s="19" t="s">
        <v>808</v>
      </c>
      <c r="AE130" s="21">
        <v>243</v>
      </c>
      <c r="AF130" s="19">
        <v>22</v>
      </c>
      <c r="AG130" s="19">
        <v>1</v>
      </c>
      <c r="AH130" s="19" t="s">
        <v>809</v>
      </c>
      <c r="AI130" s="19"/>
      <c r="AJ130" s="19"/>
      <c r="AK130" s="19"/>
      <c r="AL130" s="43" t="s">
        <v>576</v>
      </c>
      <c r="AM130" s="19">
        <v>0</v>
      </c>
      <c r="AN130" s="19" t="s">
        <v>1406</v>
      </c>
      <c r="AO130" s="19" t="s">
        <v>1585</v>
      </c>
      <c r="AP130" s="19">
        <v>34240</v>
      </c>
      <c r="AQ130" s="26">
        <f>IFERROR(PropInfo[[#This Row],[Yardi]]*1,PropInfo[[#This Row],[Yardi]])</f>
        <v>178</v>
      </c>
    </row>
    <row r="131" spans="1:47" x14ac:dyDescent="0.2">
      <c r="A131" s="43" t="s">
        <v>306</v>
      </c>
      <c r="B131" s="19" t="s">
        <v>307</v>
      </c>
      <c r="C131" s="37">
        <v>171</v>
      </c>
      <c r="D131" s="37">
        <v>136536</v>
      </c>
      <c r="E131" s="19" t="s" vm="112">
        <v>1368</v>
      </c>
      <c r="F131" s="19" t="s">
        <v>1409</v>
      </c>
      <c r="G131" s="19" t="s">
        <v>781</v>
      </c>
      <c r="H131" s="19" t="s">
        <v>307</v>
      </c>
      <c r="I131" s="19" t="s">
        <v>308</v>
      </c>
      <c r="J131" s="19" t="s">
        <v>309</v>
      </c>
      <c r="K131" s="19" t="s">
        <v>6</v>
      </c>
      <c r="L131" s="19">
        <v>94710</v>
      </c>
      <c r="M131" s="19">
        <v>37.867080999999999</v>
      </c>
      <c r="N131" s="19">
        <v>-122.299797</v>
      </c>
      <c r="O131" s="19" t="s">
        <v>786</v>
      </c>
      <c r="P131" s="19" t="s">
        <v>1414</v>
      </c>
      <c r="Q131" s="19" t="s">
        <v>853</v>
      </c>
      <c r="R131" s="19" t="s">
        <v>854</v>
      </c>
      <c r="S131" s="19" t="s">
        <v>855</v>
      </c>
      <c r="T131" s="19" t="s">
        <v>856</v>
      </c>
      <c r="U131" s="19" t="s">
        <v>779</v>
      </c>
      <c r="V131" s="19" t="s">
        <v>782</v>
      </c>
      <c r="W131" s="20">
        <v>1</v>
      </c>
      <c r="X131" s="39">
        <v>2010</v>
      </c>
      <c r="Y131" s="39">
        <v>2008</v>
      </c>
      <c r="Z131" s="25">
        <v>39391</v>
      </c>
      <c r="AA131" s="19">
        <v>2012</v>
      </c>
      <c r="AB131" s="25">
        <v>40544</v>
      </c>
      <c r="AC131" s="19" t="s">
        <v>804</v>
      </c>
      <c r="AD131" s="19" t="s">
        <v>800</v>
      </c>
      <c r="AE131" s="21">
        <v>171</v>
      </c>
      <c r="AF131" s="19">
        <v>5</v>
      </c>
      <c r="AG131" s="19">
        <v>3</v>
      </c>
      <c r="AH131" s="19" t="s">
        <v>809</v>
      </c>
      <c r="AI131" s="19" t="s">
        <v>1547</v>
      </c>
      <c r="AJ131" s="19" t="s">
        <v>1548</v>
      </c>
      <c r="AK131" s="19" t="s">
        <v>1379</v>
      </c>
      <c r="AL131" s="43" t="s">
        <v>306</v>
      </c>
      <c r="AM131" s="19">
        <v>0</v>
      </c>
      <c r="AN131" s="19" t="s">
        <v>1406</v>
      </c>
      <c r="AO131" s="19" t="s">
        <v>1585</v>
      </c>
      <c r="AP131" s="19">
        <v>42859</v>
      </c>
      <c r="AQ131" s="26">
        <f>IFERROR(PropInfo[[#This Row],[Yardi]]*1,PropInfo[[#This Row],[Yardi]])</f>
        <v>180</v>
      </c>
    </row>
    <row r="132" spans="1:47" x14ac:dyDescent="0.2">
      <c r="A132" s="43" t="s">
        <v>613</v>
      </c>
      <c r="B132" s="19" t="s">
        <v>614</v>
      </c>
      <c r="C132" s="37">
        <v>284</v>
      </c>
      <c r="D132" s="37">
        <v>258628</v>
      </c>
      <c r="E132" s="19" t="s" vm="204">
        <v>1368</v>
      </c>
      <c r="F132" s="19" t="s">
        <v>1409</v>
      </c>
      <c r="G132" s="19" t="s">
        <v>781</v>
      </c>
      <c r="H132" s="19" t="s">
        <v>614</v>
      </c>
      <c r="I132" s="19" t="s">
        <v>852</v>
      </c>
      <c r="J132" s="19" t="s">
        <v>138</v>
      </c>
      <c r="K132" s="19" t="s">
        <v>6</v>
      </c>
      <c r="L132" s="19">
        <v>94089</v>
      </c>
      <c r="M132" s="19">
        <v>37.402534000000003</v>
      </c>
      <c r="N132" s="19">
        <v>-122.00773599999999</v>
      </c>
      <c r="O132" s="19" t="s">
        <v>786</v>
      </c>
      <c r="P132" s="19" t="s">
        <v>1414</v>
      </c>
      <c r="Q132" s="19" t="s">
        <v>787</v>
      </c>
      <c r="R132" s="19" t="s">
        <v>5</v>
      </c>
      <c r="S132" s="19" t="s">
        <v>788</v>
      </c>
      <c r="T132" s="19" t="s">
        <v>843</v>
      </c>
      <c r="U132" s="19" t="s">
        <v>779</v>
      </c>
      <c r="V132" s="19" t="s">
        <v>782</v>
      </c>
      <c r="W132" s="20">
        <v>1</v>
      </c>
      <c r="X132" s="39">
        <v>2011</v>
      </c>
      <c r="Y132" s="39">
        <v>2009</v>
      </c>
      <c r="Z132" s="25">
        <v>39560</v>
      </c>
      <c r="AA132" s="19">
        <v>2013</v>
      </c>
      <c r="AB132" s="25">
        <v>40940</v>
      </c>
      <c r="AC132" s="19" t="s">
        <v>804</v>
      </c>
      <c r="AD132" s="19" t="s">
        <v>800</v>
      </c>
      <c r="AE132" s="21">
        <v>284</v>
      </c>
      <c r="AF132" s="19">
        <v>5</v>
      </c>
      <c r="AG132" s="19">
        <v>3</v>
      </c>
      <c r="AH132" s="19" t="s">
        <v>809</v>
      </c>
      <c r="AI132" s="19" t="s">
        <v>1387</v>
      </c>
      <c r="AJ132" s="19">
        <v>43</v>
      </c>
      <c r="AK132" s="19">
        <v>2066</v>
      </c>
      <c r="AL132" s="43" t="s">
        <v>613</v>
      </c>
      <c r="AM132" s="19">
        <v>0</v>
      </c>
      <c r="AN132" s="19" t="s">
        <v>1406</v>
      </c>
      <c r="AO132" s="19" t="s">
        <v>1527</v>
      </c>
      <c r="AP132" s="19">
        <v>35849</v>
      </c>
      <c r="AQ132" s="26">
        <f>IFERROR(PropInfo[[#This Row],[Yardi]]*1,PropInfo[[#This Row],[Yardi]])</f>
        <v>186</v>
      </c>
    </row>
    <row r="133" spans="1:47" x14ac:dyDescent="0.2">
      <c r="A133" s="43" t="s">
        <v>101</v>
      </c>
      <c r="B133" s="19" t="s">
        <v>102</v>
      </c>
      <c r="C133" s="37">
        <v>275</v>
      </c>
      <c r="D133" s="37">
        <v>227552</v>
      </c>
      <c r="E133" s="19" t="s" vm="56">
        <v>1368</v>
      </c>
      <c r="F133" s="19" t="s">
        <v>1409</v>
      </c>
      <c r="G133" s="19" t="s">
        <v>781</v>
      </c>
      <c r="H133" s="19" t="s">
        <v>102</v>
      </c>
      <c r="I133" s="19" t="s">
        <v>959</v>
      </c>
      <c r="J133" s="19" t="s">
        <v>21</v>
      </c>
      <c r="K133" s="19" t="s">
        <v>6</v>
      </c>
      <c r="L133" s="19">
        <v>90026</v>
      </c>
      <c r="M133" s="19">
        <v>34.060817999999998</v>
      </c>
      <c r="N133" s="19">
        <v>-118.25936900000001</v>
      </c>
      <c r="O133" s="19" t="s">
        <v>929</v>
      </c>
      <c r="P133" s="19" t="s">
        <v>1413</v>
      </c>
      <c r="Q133" s="19" t="s">
        <v>930</v>
      </c>
      <c r="R133" s="19" t="s">
        <v>21</v>
      </c>
      <c r="S133" s="19" t="s">
        <v>944</v>
      </c>
      <c r="T133" s="19" t="s">
        <v>960</v>
      </c>
      <c r="U133" s="19" t="s">
        <v>779</v>
      </c>
      <c r="V133" s="19" t="s">
        <v>782</v>
      </c>
      <c r="W133" s="20">
        <v>1</v>
      </c>
      <c r="X133" s="39">
        <v>2008</v>
      </c>
      <c r="Y133" s="39">
        <v>2005</v>
      </c>
      <c r="Z133" s="25">
        <v>39722</v>
      </c>
      <c r="AA133" s="19">
        <v>2010</v>
      </c>
      <c r="AB133" s="25">
        <v>39894</v>
      </c>
      <c r="AC133" s="19" t="s">
        <v>783</v>
      </c>
      <c r="AD133" s="19" t="s">
        <v>800</v>
      </c>
      <c r="AE133" s="21">
        <v>0</v>
      </c>
      <c r="AF133" s="19">
        <v>5</v>
      </c>
      <c r="AG133" s="19">
        <v>1</v>
      </c>
      <c r="AH133" s="19" t="s">
        <v>785</v>
      </c>
      <c r="AI133" s="19" t="s">
        <v>1377</v>
      </c>
      <c r="AJ133" s="19">
        <v>55</v>
      </c>
      <c r="AK133" s="19">
        <v>2059</v>
      </c>
      <c r="AL133" s="43" t="s">
        <v>101</v>
      </c>
      <c r="AM133" s="19">
        <v>0</v>
      </c>
      <c r="AN133" s="19" t="s">
        <v>1406</v>
      </c>
      <c r="AO133" s="19" t="s">
        <v>1528</v>
      </c>
      <c r="AP133" s="19">
        <v>19944</v>
      </c>
      <c r="AQ133" s="26">
        <f>IFERROR(PropInfo[[#This Row],[Yardi]]*1,PropInfo[[#This Row],[Yardi]])</f>
        <v>187</v>
      </c>
      <c r="AU133" s="53" t="s">
        <v>1601</v>
      </c>
    </row>
    <row r="134" spans="1:47" x14ac:dyDescent="0.2">
      <c r="A134" s="43" t="s">
        <v>271</v>
      </c>
      <c r="B134" s="19" t="s">
        <v>272</v>
      </c>
      <c r="C134" s="37">
        <v>275</v>
      </c>
      <c r="D134" s="37">
        <v>190176</v>
      </c>
      <c r="E134" s="19" t="s" vm="114">
        <v>925</v>
      </c>
      <c r="F134" s="19" t="s">
        <v>1409</v>
      </c>
      <c r="G134" s="19" t="s">
        <v>781</v>
      </c>
      <c r="H134" s="19" t="s">
        <v>272</v>
      </c>
      <c r="I134" s="19" t="s">
        <v>273</v>
      </c>
      <c r="J134" s="19" t="s">
        <v>26</v>
      </c>
      <c r="K134" s="19" t="s">
        <v>27</v>
      </c>
      <c r="L134" s="19">
        <v>98109</v>
      </c>
      <c r="M134" s="19">
        <v>47.623309999999996</v>
      </c>
      <c r="N134" s="19">
        <v>-122.355103</v>
      </c>
      <c r="O134" s="19" t="s">
        <v>1090</v>
      </c>
      <c r="P134" s="19" t="s">
        <v>1412</v>
      </c>
      <c r="Q134" s="19" t="s">
        <v>1091</v>
      </c>
      <c r="R134" s="19" t="s">
        <v>1092</v>
      </c>
      <c r="S134" s="19" t="s">
        <v>1134</v>
      </c>
      <c r="T134" s="19" t="s">
        <v>1138</v>
      </c>
      <c r="U134" s="19" t="s">
        <v>779</v>
      </c>
      <c r="V134" s="19" t="s">
        <v>802</v>
      </c>
      <c r="W134" s="20">
        <v>0.5</v>
      </c>
      <c r="X134" s="39">
        <v>2012</v>
      </c>
      <c r="Y134" s="39">
        <v>2011</v>
      </c>
      <c r="Z134" s="25">
        <v>40617</v>
      </c>
      <c r="AA134" s="19">
        <v>2014</v>
      </c>
      <c r="AB134" s="25">
        <v>41426</v>
      </c>
      <c r="AC134" s="19" t="s">
        <v>804</v>
      </c>
      <c r="AD134" s="19" t="s">
        <v>800</v>
      </c>
      <c r="AE134" s="21" t="s">
        <v>1494</v>
      </c>
      <c r="AF134" s="19">
        <v>6</v>
      </c>
      <c r="AG134" s="19">
        <v>1</v>
      </c>
      <c r="AH134" s="19" t="s">
        <v>792</v>
      </c>
      <c r="AI134" s="19" t="s">
        <v>1377</v>
      </c>
      <c r="AJ134" s="19">
        <v>55</v>
      </c>
      <c r="AK134" s="19">
        <v>2024</v>
      </c>
      <c r="AL134" s="43" t="s">
        <v>271</v>
      </c>
      <c r="AM134" s="19">
        <v>0</v>
      </c>
      <c r="AN134" s="19" t="s">
        <v>1406</v>
      </c>
      <c r="AO134" s="19" t="s">
        <v>1351</v>
      </c>
      <c r="AP134" s="19">
        <v>35853</v>
      </c>
      <c r="AQ134" s="26">
        <f>IFERROR(PropInfo[[#This Row],[Yardi]]*1,PropInfo[[#This Row],[Yardi]])</f>
        <v>194</v>
      </c>
    </row>
    <row r="135" spans="1:47" x14ac:dyDescent="0.2">
      <c r="A135" s="43" t="s">
        <v>70</v>
      </c>
      <c r="B135" s="19" t="s">
        <v>71</v>
      </c>
      <c r="C135" s="37">
        <v>121</v>
      </c>
      <c r="D135" s="37">
        <v>129393</v>
      </c>
      <c r="E135" s="19" t="s" vm="57">
        <v>1368</v>
      </c>
      <c r="F135" s="19" t="s">
        <v>1409</v>
      </c>
      <c r="G135" s="19" t="s">
        <v>781</v>
      </c>
      <c r="H135" s="19" t="s">
        <v>71</v>
      </c>
      <c r="I135" s="19" t="s">
        <v>992</v>
      </c>
      <c r="J135" s="19" t="s">
        <v>36</v>
      </c>
      <c r="K135" s="19" t="s">
        <v>6</v>
      </c>
      <c r="L135" s="19">
        <v>91607</v>
      </c>
      <c r="M135" s="19">
        <v>34.1708231</v>
      </c>
      <c r="N135" s="19">
        <v>-118.3962605</v>
      </c>
      <c r="O135" s="19" t="s">
        <v>929</v>
      </c>
      <c r="P135" s="19" t="s">
        <v>1413</v>
      </c>
      <c r="Q135" s="19" t="s">
        <v>930</v>
      </c>
      <c r="R135" s="19" t="s">
        <v>21</v>
      </c>
      <c r="S135" s="19" t="s">
        <v>931</v>
      </c>
      <c r="T135" s="19" t="s">
        <v>991</v>
      </c>
      <c r="U135" s="19" t="s">
        <v>779</v>
      </c>
      <c r="V135" s="19" t="s">
        <v>794</v>
      </c>
      <c r="W135" s="20">
        <v>1</v>
      </c>
      <c r="X135" s="39">
        <v>2014</v>
      </c>
      <c r="Y135" s="39">
        <v>2012</v>
      </c>
      <c r="Z135" s="25">
        <v>41726</v>
      </c>
      <c r="AA135" s="19">
        <v>2015</v>
      </c>
      <c r="AB135" s="25">
        <v>41852</v>
      </c>
      <c r="AC135" s="19" t="s">
        <v>783</v>
      </c>
      <c r="AD135" s="19" t="s">
        <v>800</v>
      </c>
      <c r="AE135" s="21">
        <v>121</v>
      </c>
      <c r="AF135" s="19">
        <v>3</v>
      </c>
      <c r="AG135" s="19">
        <v>1</v>
      </c>
      <c r="AH135" s="19" t="s">
        <v>792</v>
      </c>
      <c r="AI135" s="19"/>
      <c r="AJ135" s="19"/>
      <c r="AK135" s="19"/>
      <c r="AL135" s="43" t="s">
        <v>70</v>
      </c>
      <c r="AM135" s="19">
        <v>1</v>
      </c>
      <c r="AN135" s="19" t="s">
        <v>1403</v>
      </c>
      <c r="AO135" s="19" t="s">
        <v>1589</v>
      </c>
      <c r="AP135" s="19">
        <v>44622</v>
      </c>
      <c r="AQ135" s="26">
        <f>IFERROR(PropInfo[[#This Row],[Yardi]]*1,PropInfo[[#This Row],[Yardi]])</f>
        <v>197</v>
      </c>
    </row>
    <row r="136" spans="1:47" x14ac:dyDescent="0.2">
      <c r="A136" s="43" t="s">
        <v>184</v>
      </c>
      <c r="B136" s="19" t="s">
        <v>185</v>
      </c>
      <c r="C136" s="37">
        <v>376</v>
      </c>
      <c r="D136" s="37"/>
      <c r="E136" s="19" t="s" vm="60">
        <v>925</v>
      </c>
      <c r="F136" s="19" t="s">
        <v>1409</v>
      </c>
      <c r="G136" s="19" t="s">
        <v>781</v>
      </c>
      <c r="H136" s="19" t="s">
        <v>185</v>
      </c>
      <c r="I136" s="19" t="s">
        <v>186</v>
      </c>
      <c r="J136" s="19" t="s">
        <v>9</v>
      </c>
      <c r="K136" s="19" t="s">
        <v>6</v>
      </c>
      <c r="L136" s="19">
        <v>95112</v>
      </c>
      <c r="M136" s="19">
        <v>37.368003199999997</v>
      </c>
      <c r="N136" s="19">
        <v>-121.91667870000001</v>
      </c>
      <c r="O136" s="19" t="s">
        <v>786</v>
      </c>
      <c r="P136" s="19" t="s">
        <v>1414</v>
      </c>
      <c r="Q136" s="19" t="s">
        <v>787</v>
      </c>
      <c r="R136" s="19" t="s">
        <v>5</v>
      </c>
      <c r="S136" s="19" t="s">
        <v>797</v>
      </c>
      <c r="T136" s="19" t="s">
        <v>805</v>
      </c>
      <c r="U136" s="19" t="s">
        <v>779</v>
      </c>
      <c r="V136" s="19" t="s">
        <v>802</v>
      </c>
      <c r="W136" s="20">
        <v>0.5</v>
      </c>
      <c r="X136" s="39">
        <v>2017</v>
      </c>
      <c r="Y136" s="39">
        <v>2014</v>
      </c>
      <c r="Z136" s="25">
        <v>41892</v>
      </c>
      <c r="AA136" s="19">
        <v>2018</v>
      </c>
      <c r="AB136" s="25">
        <v>43040</v>
      </c>
      <c r="AC136" s="19" t="s">
        <v>804</v>
      </c>
      <c r="AD136" s="19" t="s">
        <v>808</v>
      </c>
      <c r="AE136" s="21">
        <v>0</v>
      </c>
      <c r="AF136" s="19">
        <v>12</v>
      </c>
      <c r="AG136" s="19">
        <v>2</v>
      </c>
      <c r="AH136" s="19"/>
      <c r="AI136" s="19"/>
      <c r="AJ136" s="19"/>
      <c r="AK136" s="19"/>
      <c r="AL136" s="43" t="s">
        <v>184</v>
      </c>
      <c r="AM136" s="19">
        <v>0</v>
      </c>
      <c r="AN136" s="19" t="s">
        <v>1406</v>
      </c>
      <c r="AO136" s="19" t="s">
        <v>1352</v>
      </c>
      <c r="AP136" s="19" t="e">
        <v>#N/A</v>
      </c>
      <c r="AQ136" s="26">
        <f>IFERROR(PropInfo[[#This Row],[Yardi]]*1,PropInfo[[#This Row],[Yardi]])</f>
        <v>198</v>
      </c>
    </row>
    <row r="137" spans="1:47" x14ac:dyDescent="0.2">
      <c r="A137" s="43" t="s">
        <v>33</v>
      </c>
      <c r="B137" s="19" t="s">
        <v>34</v>
      </c>
      <c r="C137" s="37">
        <v>97</v>
      </c>
      <c r="D137" s="37">
        <v>117008</v>
      </c>
      <c r="E137" s="19" t="s" vm="115">
        <v>1368</v>
      </c>
      <c r="F137" s="19" t="s">
        <v>1409</v>
      </c>
      <c r="G137" s="19" t="s">
        <v>781</v>
      </c>
      <c r="H137" s="19" t="s">
        <v>34</v>
      </c>
      <c r="I137" s="19" t="s">
        <v>35</v>
      </c>
      <c r="J137" s="19" t="s">
        <v>36</v>
      </c>
      <c r="K137" s="19" t="s">
        <v>6</v>
      </c>
      <c r="L137" s="19">
        <v>91607</v>
      </c>
      <c r="M137" s="19">
        <v>34.164909000000002</v>
      </c>
      <c r="N137" s="19">
        <v>-118.393097</v>
      </c>
      <c r="O137" s="19" t="s">
        <v>929</v>
      </c>
      <c r="P137" s="19" t="s">
        <v>1413</v>
      </c>
      <c r="Q137" s="19" t="s">
        <v>930</v>
      </c>
      <c r="R137" s="19" t="s">
        <v>21</v>
      </c>
      <c r="S137" s="19" t="s">
        <v>931</v>
      </c>
      <c r="T137" s="19" t="s">
        <v>991</v>
      </c>
      <c r="U137" s="19" t="s">
        <v>790</v>
      </c>
      <c r="V137" s="19" t="s">
        <v>782</v>
      </c>
      <c r="W137" s="20">
        <v>1</v>
      </c>
      <c r="X137" s="39">
        <v>2010</v>
      </c>
      <c r="Y137" s="39">
        <v>2010</v>
      </c>
      <c r="Z137" s="25">
        <v>40473</v>
      </c>
      <c r="AA137" s="19">
        <v>2012</v>
      </c>
      <c r="AB137" s="25">
        <v>40695</v>
      </c>
      <c r="AC137" s="19" t="s">
        <v>783</v>
      </c>
      <c r="AD137" s="19" t="s">
        <v>800</v>
      </c>
      <c r="AE137" s="21">
        <v>97</v>
      </c>
      <c r="AF137" s="19">
        <v>4</v>
      </c>
      <c r="AG137" s="19">
        <v>1</v>
      </c>
      <c r="AH137" s="19" t="s">
        <v>809</v>
      </c>
      <c r="AI137" s="19"/>
      <c r="AJ137" s="19"/>
      <c r="AK137" s="19"/>
      <c r="AL137" s="43" t="s">
        <v>33</v>
      </c>
      <c r="AM137" s="19">
        <v>4</v>
      </c>
      <c r="AN137" s="19" t="s">
        <v>1403</v>
      </c>
      <c r="AO137" s="19" t="s">
        <v>1589</v>
      </c>
      <c r="AP137" s="19">
        <v>42838</v>
      </c>
      <c r="AQ137" s="26">
        <f>IFERROR(PropInfo[[#This Row],[Yardi]]*1,PropInfo[[#This Row],[Yardi]])</f>
        <v>210</v>
      </c>
    </row>
    <row r="138" spans="1:47" hidden="1" x14ac:dyDescent="0.2">
      <c r="A138" s="43" t="s">
        <v>687</v>
      </c>
      <c r="B138" s="19" t="s">
        <v>1192</v>
      </c>
      <c r="C138" s="37">
        <v>3</v>
      </c>
      <c r="D138" s="37">
        <v>10097</v>
      </c>
      <c r="E138" s="19" t="s">
        <v>762</v>
      </c>
      <c r="F138" s="19" t="s">
        <v>1409</v>
      </c>
      <c r="G138" s="19" t="s">
        <v>835</v>
      </c>
      <c r="H138" s="19" t="s">
        <v>290</v>
      </c>
      <c r="I138" s="19" t="s">
        <v>1073</v>
      </c>
      <c r="J138" s="19" t="s">
        <v>39</v>
      </c>
      <c r="K138" s="19" t="s">
        <v>6</v>
      </c>
      <c r="L138" s="19">
        <v>92101</v>
      </c>
      <c r="M138" s="19">
        <v>32.712153999999998</v>
      </c>
      <c r="N138" s="19">
        <v>-117.150881</v>
      </c>
      <c r="O138" s="19" t="s">
        <v>929</v>
      </c>
      <c r="P138" s="19" t="s">
        <v>1415</v>
      </c>
      <c r="Q138" s="19" t="s">
        <v>1052</v>
      </c>
      <c r="R138" s="19" t="s">
        <v>39</v>
      </c>
      <c r="S138" s="19" t="s">
        <v>1071</v>
      </c>
      <c r="T138" s="19" t="s">
        <v>1072</v>
      </c>
      <c r="U138" s="19" t="s">
        <v>790</v>
      </c>
      <c r="V138" s="19" t="s">
        <v>782</v>
      </c>
      <c r="W138" s="20">
        <v>1</v>
      </c>
      <c r="X138" s="39">
        <v>2014</v>
      </c>
      <c r="Y138" s="39">
        <v>2016</v>
      </c>
      <c r="Z138" s="25">
        <v>42452</v>
      </c>
      <c r="AA138" s="19">
        <v>2017</v>
      </c>
      <c r="AB138" s="25">
        <v>42522</v>
      </c>
      <c r="AC138" s="19" t="s">
        <v>804</v>
      </c>
      <c r="AD138" s="19" t="s">
        <v>800</v>
      </c>
      <c r="AE138" s="21">
        <v>0</v>
      </c>
      <c r="AF138" s="19">
        <v>6</v>
      </c>
      <c r="AG138" s="19">
        <v>1</v>
      </c>
      <c r="AH138" s="19"/>
      <c r="AI138" s="19"/>
      <c r="AJ138" s="19"/>
      <c r="AK138" s="19"/>
      <c r="AL138" s="43" t="e">
        <v>#N/A</v>
      </c>
      <c r="AM138" s="19" t="e">
        <v>#N/A</v>
      </c>
      <c r="AN138" s="19" t="e">
        <v>#N/A</v>
      </c>
      <c r="AO138" s="19" t="s">
        <v>1565</v>
      </c>
      <c r="AP138" s="19">
        <v>0</v>
      </c>
      <c r="AQ138" s="26">
        <f>IFERROR(PropInfo[[#This Row],[Yardi]]*1,PropInfo[[#This Row],[Yardi]])</f>
        <v>421</v>
      </c>
    </row>
    <row r="139" spans="1:47" x14ac:dyDescent="0.2">
      <c r="A139" s="43" t="s">
        <v>427</v>
      </c>
      <c r="B139" s="19" t="s">
        <v>428</v>
      </c>
      <c r="C139" s="37">
        <v>152</v>
      </c>
      <c r="D139" s="37">
        <v>135186</v>
      </c>
      <c r="E139" s="19" t="s" vm="205">
        <v>1368</v>
      </c>
      <c r="F139" s="19" t="s">
        <v>1409</v>
      </c>
      <c r="G139" s="19" t="s">
        <v>781</v>
      </c>
      <c r="H139" s="19" t="s">
        <v>428</v>
      </c>
      <c r="I139" s="19" t="s">
        <v>981</v>
      </c>
      <c r="J139" s="19" t="s">
        <v>429</v>
      </c>
      <c r="K139" s="19" t="s">
        <v>6</v>
      </c>
      <c r="L139" s="19">
        <v>91601</v>
      </c>
      <c r="M139" s="19">
        <v>34.166473000000003</v>
      </c>
      <c r="N139" s="19">
        <v>-118.37080400000001</v>
      </c>
      <c r="O139" s="19" t="s">
        <v>929</v>
      </c>
      <c r="P139" s="19" t="s">
        <v>1413</v>
      </c>
      <c r="Q139" s="19" t="s">
        <v>930</v>
      </c>
      <c r="R139" s="19" t="s">
        <v>21</v>
      </c>
      <c r="S139" s="19" t="s">
        <v>931</v>
      </c>
      <c r="T139" s="19" t="s">
        <v>937</v>
      </c>
      <c r="U139" s="19" t="s">
        <v>790</v>
      </c>
      <c r="V139" s="19" t="s">
        <v>782</v>
      </c>
      <c r="W139" s="20">
        <v>1</v>
      </c>
      <c r="X139" s="39">
        <v>2011</v>
      </c>
      <c r="Y139" s="39">
        <v>2010</v>
      </c>
      <c r="Z139" s="25">
        <v>40451</v>
      </c>
      <c r="AA139" s="19">
        <v>2012</v>
      </c>
      <c r="AB139" s="25">
        <v>40817</v>
      </c>
      <c r="AC139" s="19" t="s">
        <v>804</v>
      </c>
      <c r="AD139" s="19" t="s">
        <v>800</v>
      </c>
      <c r="AE139" s="21">
        <v>0</v>
      </c>
      <c r="AF139" s="19">
        <v>6</v>
      </c>
      <c r="AG139" s="19">
        <v>1</v>
      </c>
      <c r="AH139" s="19" t="s">
        <v>792</v>
      </c>
      <c r="AI139" s="19" t="s">
        <v>1389</v>
      </c>
      <c r="AJ139" s="19">
        <v>7</v>
      </c>
      <c r="AK139" s="19">
        <v>2036</v>
      </c>
      <c r="AL139" s="43" t="s">
        <v>427</v>
      </c>
      <c r="AM139" s="19">
        <v>1</v>
      </c>
      <c r="AN139" s="19" t="s">
        <v>1403</v>
      </c>
      <c r="AO139" s="19" t="s">
        <v>1589</v>
      </c>
      <c r="AP139" s="19">
        <v>34957</v>
      </c>
      <c r="AQ139" s="26">
        <f>IFERROR(PropInfo[[#This Row],[Yardi]]*1,PropInfo[[#This Row],[Yardi]])</f>
        <v>211</v>
      </c>
    </row>
    <row r="140" spans="1:47" x14ac:dyDescent="0.2">
      <c r="A140" s="43" t="s">
        <v>355</v>
      </c>
      <c r="B140" s="19" t="s">
        <v>1236</v>
      </c>
      <c r="C140" s="37">
        <v>295</v>
      </c>
      <c r="D140" s="37">
        <v>211849</v>
      </c>
      <c r="E140" s="19" t="s" vm="62">
        <v>1368</v>
      </c>
      <c r="F140" s="19" t="s">
        <v>1409</v>
      </c>
      <c r="G140" s="19" t="s">
        <v>781</v>
      </c>
      <c r="H140" s="19" t="s">
        <v>1236</v>
      </c>
      <c r="I140" s="19" t="s">
        <v>1143</v>
      </c>
      <c r="J140" s="19" t="s">
        <v>26</v>
      </c>
      <c r="K140" s="19" t="s">
        <v>27</v>
      </c>
      <c r="L140" s="19">
        <v>98102</v>
      </c>
      <c r="M140" s="19">
        <v>47.623694999999998</v>
      </c>
      <c r="N140" s="19">
        <v>-122.321487</v>
      </c>
      <c r="O140" s="19" t="s">
        <v>1090</v>
      </c>
      <c r="P140" s="19" t="s">
        <v>1412</v>
      </c>
      <c r="Q140" s="19" t="s">
        <v>1091</v>
      </c>
      <c r="R140" s="19" t="s">
        <v>1092</v>
      </c>
      <c r="S140" s="19" t="s">
        <v>1134</v>
      </c>
      <c r="T140" s="19" t="s">
        <v>1142</v>
      </c>
      <c r="U140" s="19" t="s">
        <v>779</v>
      </c>
      <c r="V140" s="19" t="s">
        <v>802</v>
      </c>
      <c r="W140" s="20">
        <v>1</v>
      </c>
      <c r="X140" s="39">
        <v>2010</v>
      </c>
      <c r="Y140" s="39">
        <v>2008</v>
      </c>
      <c r="Z140" s="25">
        <v>39583</v>
      </c>
      <c r="AA140" s="19">
        <v>2012</v>
      </c>
      <c r="AB140" s="25">
        <v>40575</v>
      </c>
      <c r="AC140" s="19" t="s">
        <v>804</v>
      </c>
      <c r="AD140" s="19" t="s">
        <v>800</v>
      </c>
      <c r="AE140" s="21" t="s">
        <v>1494</v>
      </c>
      <c r="AF140" s="19">
        <v>6</v>
      </c>
      <c r="AG140" s="19">
        <v>1</v>
      </c>
      <c r="AH140" s="19" t="s">
        <v>792</v>
      </c>
      <c r="AI140" s="19" t="s">
        <v>1377</v>
      </c>
      <c r="AJ140" s="19">
        <v>59</v>
      </c>
      <c r="AK140" s="19">
        <v>2022</v>
      </c>
      <c r="AL140" s="43" t="s">
        <v>355</v>
      </c>
      <c r="AM140" s="19">
        <v>30</v>
      </c>
      <c r="AN140" s="19" t="s">
        <v>1403</v>
      </c>
      <c r="AO140" s="19" t="s">
        <v>1351</v>
      </c>
      <c r="AP140" s="19">
        <v>34160</v>
      </c>
      <c r="AQ140" s="26">
        <f>IFERROR(PropInfo[[#This Row],[Yardi]]*1,PropInfo[[#This Row],[Yardi]])</f>
        <v>215</v>
      </c>
    </row>
    <row r="141" spans="1:47" x14ac:dyDescent="0.2">
      <c r="A141" s="43" t="s">
        <v>571</v>
      </c>
      <c r="B141" s="19" t="s">
        <v>1152</v>
      </c>
      <c r="C141" s="37">
        <v>301</v>
      </c>
      <c r="D141" s="37">
        <v>245928</v>
      </c>
      <c r="E141" s="19" t="s" vm="61">
        <v>1368</v>
      </c>
      <c r="F141" s="19" t="s">
        <v>1409</v>
      </c>
      <c r="G141" s="19" t="s">
        <v>781</v>
      </c>
      <c r="H141" s="19" t="s">
        <v>1152</v>
      </c>
      <c r="I141" s="19" t="s">
        <v>1153</v>
      </c>
      <c r="J141" s="19" t="s">
        <v>572</v>
      </c>
      <c r="K141" s="19" t="s">
        <v>27</v>
      </c>
      <c r="L141" s="19">
        <v>98275</v>
      </c>
      <c r="M141" s="19">
        <v>47.911911000000003</v>
      </c>
      <c r="N141" s="19">
        <v>-122.30040700000001</v>
      </c>
      <c r="O141" s="19" t="s">
        <v>1090</v>
      </c>
      <c r="P141" s="19" t="s">
        <v>1412</v>
      </c>
      <c r="Q141" s="19" t="s">
        <v>1091</v>
      </c>
      <c r="R141" s="19" t="s">
        <v>1147</v>
      </c>
      <c r="S141" s="19" t="s">
        <v>1107</v>
      </c>
      <c r="T141" s="19" t="s">
        <v>1154</v>
      </c>
      <c r="U141" s="19" t="s">
        <v>790</v>
      </c>
      <c r="V141" s="19" t="s">
        <v>794</v>
      </c>
      <c r="W141" s="20">
        <v>1</v>
      </c>
      <c r="X141" s="39">
        <v>1981</v>
      </c>
      <c r="Y141" s="39">
        <v>1997</v>
      </c>
      <c r="Z141" s="25">
        <v>35447</v>
      </c>
      <c r="AA141" s="19">
        <v>1998</v>
      </c>
      <c r="AB141" s="25">
        <v>35489</v>
      </c>
      <c r="AC141" s="19" t="s">
        <v>783</v>
      </c>
      <c r="AD141" s="19" t="s">
        <v>784</v>
      </c>
      <c r="AE141" s="21" t="s">
        <v>1494</v>
      </c>
      <c r="AF141" s="19">
        <v>2</v>
      </c>
      <c r="AG141" s="19">
        <v>33</v>
      </c>
      <c r="AH141" s="19" t="s">
        <v>785</v>
      </c>
      <c r="AI141" s="19" t="s">
        <v>1377</v>
      </c>
      <c r="AJ141" s="19">
        <v>61</v>
      </c>
      <c r="AK141" s="19">
        <v>2017</v>
      </c>
      <c r="AL141" s="43" t="s">
        <v>571</v>
      </c>
      <c r="AM141" s="19">
        <v>0</v>
      </c>
      <c r="AN141" s="19" t="s">
        <v>1406</v>
      </c>
      <c r="AO141" s="19" t="s">
        <v>1349</v>
      </c>
      <c r="AP141" s="19">
        <v>1144</v>
      </c>
      <c r="AQ141" s="26">
        <f>IFERROR(PropInfo[[#This Row],[Yardi]]*1,PropInfo[[#This Row],[Yardi]])</f>
        <v>218</v>
      </c>
    </row>
    <row r="142" spans="1:47" hidden="1" x14ac:dyDescent="0.2">
      <c r="A142" s="43" t="s">
        <v>301</v>
      </c>
      <c r="B142" s="19" t="s">
        <v>302</v>
      </c>
      <c r="C142" s="37">
        <v>3</v>
      </c>
      <c r="D142" s="37">
        <v>3699</v>
      </c>
      <c r="E142" s="19" t="s">
        <v>762</v>
      </c>
      <c r="F142" s="19" t="s">
        <v>1409</v>
      </c>
      <c r="G142" s="19" t="s">
        <v>835</v>
      </c>
      <c r="H142" s="19" t="s">
        <v>298</v>
      </c>
      <c r="I142" s="19" t="s">
        <v>299</v>
      </c>
      <c r="J142" s="19" t="s">
        <v>300</v>
      </c>
      <c r="K142" s="19" t="s">
        <v>6</v>
      </c>
      <c r="L142" s="19">
        <v>90094</v>
      </c>
      <c r="M142" s="19">
        <v>33.974620999999999</v>
      </c>
      <c r="N142" s="19">
        <v>-118.42894</v>
      </c>
      <c r="O142" s="19" t="s">
        <v>929</v>
      </c>
      <c r="P142" s="19" t="s">
        <v>1413</v>
      </c>
      <c r="Q142" s="19" t="s">
        <v>930</v>
      </c>
      <c r="R142" s="19" t="s">
        <v>21</v>
      </c>
      <c r="S142" s="19" t="s">
        <v>956</v>
      </c>
      <c r="T142" s="19" t="s">
        <v>957</v>
      </c>
      <c r="U142" s="19" t="s">
        <v>790</v>
      </c>
      <c r="V142" s="19" t="s">
        <v>782</v>
      </c>
      <c r="W142" s="20">
        <v>1</v>
      </c>
      <c r="X142" s="39">
        <v>2002</v>
      </c>
      <c r="Y142" s="39">
        <v>2004</v>
      </c>
      <c r="Z142" s="25">
        <v>37895</v>
      </c>
      <c r="AA142" s="19">
        <v>2004</v>
      </c>
      <c r="AB142" s="25">
        <v>37955</v>
      </c>
      <c r="AC142" s="19" t="s">
        <v>804</v>
      </c>
      <c r="AD142" s="19" t="s">
        <v>800</v>
      </c>
      <c r="AE142" s="21">
        <v>0</v>
      </c>
      <c r="AF142" s="19">
        <v>4</v>
      </c>
      <c r="AG142" s="19">
        <v>5</v>
      </c>
      <c r="AH142" s="19" t="s">
        <v>785</v>
      </c>
      <c r="AI142" s="19"/>
      <c r="AJ142" s="19"/>
      <c r="AK142" s="19"/>
      <c r="AL142" s="43" t="e">
        <v>#N/A</v>
      </c>
      <c r="AM142" s="19" t="e">
        <v>#N/A</v>
      </c>
      <c r="AN142" s="19" t="e">
        <v>#N/A</v>
      </c>
      <c r="AO142" s="19" t="s">
        <v>1565</v>
      </c>
      <c r="AP142" s="19">
        <v>0</v>
      </c>
      <c r="AQ142" s="26">
        <f>IFERROR(PropInfo[[#This Row],[Yardi]]*1,PropInfo[[#This Row],[Yardi]])</f>
        <v>72</v>
      </c>
    </row>
    <row r="143" spans="1:47" x14ac:dyDescent="0.2">
      <c r="A143" s="43" t="s">
        <v>84</v>
      </c>
      <c r="B143" s="19" t="s">
        <v>1020</v>
      </c>
      <c r="C143" s="37">
        <v>161</v>
      </c>
      <c r="D143" s="37">
        <v>139835</v>
      </c>
      <c r="E143" s="19" t="s" vm="117">
        <v>1368</v>
      </c>
      <c r="F143" s="19" t="s">
        <v>1409</v>
      </c>
      <c r="G143" s="19" t="s">
        <v>781</v>
      </c>
      <c r="H143" s="19" t="s">
        <v>1020</v>
      </c>
      <c r="I143" s="19" t="s">
        <v>1021</v>
      </c>
      <c r="J143" s="19" t="s">
        <v>47</v>
      </c>
      <c r="K143" s="19" t="s">
        <v>6</v>
      </c>
      <c r="L143" s="19">
        <v>92806</v>
      </c>
      <c r="M143" s="19">
        <v>33.839030999999999</v>
      </c>
      <c r="N143" s="19">
        <v>-117.88372</v>
      </c>
      <c r="O143" s="19" t="s">
        <v>929</v>
      </c>
      <c r="P143" s="19" t="s">
        <v>1415</v>
      </c>
      <c r="Q143" s="19" t="s">
        <v>1017</v>
      </c>
      <c r="R143" s="19" t="s">
        <v>510</v>
      </c>
      <c r="S143" s="19" t="s">
        <v>1018</v>
      </c>
      <c r="T143" s="19" t="s">
        <v>1019</v>
      </c>
      <c r="U143" s="19" t="s">
        <v>790</v>
      </c>
      <c r="V143" s="19" t="s">
        <v>794</v>
      </c>
      <c r="W143" s="20">
        <v>1</v>
      </c>
      <c r="X143" s="39">
        <v>1984</v>
      </c>
      <c r="Y143" s="39">
        <v>2000</v>
      </c>
      <c r="Z143" s="25">
        <v>36635</v>
      </c>
      <c r="AA143" s="19">
        <v>2001</v>
      </c>
      <c r="AB143" s="25">
        <v>36677</v>
      </c>
      <c r="AC143" s="19" t="s">
        <v>783</v>
      </c>
      <c r="AD143" s="19" t="s">
        <v>784</v>
      </c>
      <c r="AE143" s="21">
        <v>0</v>
      </c>
      <c r="AF143" s="19">
        <v>2</v>
      </c>
      <c r="AG143" s="19">
        <v>11</v>
      </c>
      <c r="AH143" s="19" t="s">
        <v>870</v>
      </c>
      <c r="AI143" s="19"/>
      <c r="AJ143" s="19"/>
      <c r="AK143" s="19"/>
      <c r="AL143" s="43" t="s">
        <v>84</v>
      </c>
      <c r="AM143" s="19">
        <v>0</v>
      </c>
      <c r="AN143" s="19" t="s">
        <v>1406</v>
      </c>
      <c r="AO143" s="19" t="s">
        <v>1529</v>
      </c>
      <c r="AP143" s="19">
        <v>9817</v>
      </c>
      <c r="AQ143" s="26">
        <f>IFERROR(PropInfo[[#This Row],[Yardi]]*1,PropInfo[[#This Row],[Yardi]])</f>
        <v>219</v>
      </c>
    </row>
    <row r="144" spans="1:47" x14ac:dyDescent="0.2">
      <c r="A144" s="43" t="s">
        <v>139</v>
      </c>
      <c r="B144" s="19" t="s">
        <v>140</v>
      </c>
      <c r="C144" s="37">
        <v>170</v>
      </c>
      <c r="D144" s="37">
        <v>123510</v>
      </c>
      <c r="E144" s="19" t="s" vm="206">
        <v>1368</v>
      </c>
      <c r="F144" s="19" t="s">
        <v>1409</v>
      </c>
      <c r="G144" s="19" t="s">
        <v>781</v>
      </c>
      <c r="H144" s="19" t="s">
        <v>140</v>
      </c>
      <c r="I144" s="19" t="s">
        <v>141</v>
      </c>
      <c r="J144" s="19" t="s">
        <v>138</v>
      </c>
      <c r="K144" s="19" t="s">
        <v>6</v>
      </c>
      <c r="L144" s="19">
        <v>94087</v>
      </c>
      <c r="M144" s="19">
        <v>37.339382000000001</v>
      </c>
      <c r="N144" s="19">
        <v>-122.06089799999999</v>
      </c>
      <c r="O144" s="19" t="s">
        <v>786</v>
      </c>
      <c r="P144" s="19" t="s">
        <v>1414</v>
      </c>
      <c r="Q144" s="19" t="s">
        <v>787</v>
      </c>
      <c r="R144" s="19" t="s">
        <v>5</v>
      </c>
      <c r="S144" s="19" t="s">
        <v>788</v>
      </c>
      <c r="T144" s="19" t="s">
        <v>793</v>
      </c>
      <c r="U144" s="19" t="s">
        <v>790</v>
      </c>
      <c r="V144" s="19" t="s">
        <v>794</v>
      </c>
      <c r="W144" s="20">
        <v>1</v>
      </c>
      <c r="X144" s="39">
        <v>1973</v>
      </c>
      <c r="Y144" s="39">
        <v>2000</v>
      </c>
      <c r="Z144" s="25">
        <v>36707</v>
      </c>
      <c r="AA144" s="19">
        <v>2001</v>
      </c>
      <c r="AB144" s="25">
        <v>36738</v>
      </c>
      <c r="AC144" s="19" t="s">
        <v>783</v>
      </c>
      <c r="AD144" s="19" t="s">
        <v>784</v>
      </c>
      <c r="AE144" s="21">
        <v>0</v>
      </c>
      <c r="AF144" s="19">
        <v>2</v>
      </c>
      <c r="AG144" s="19">
        <v>10</v>
      </c>
      <c r="AH144" s="19" t="s">
        <v>792</v>
      </c>
      <c r="AI144" s="19"/>
      <c r="AJ144" s="19"/>
      <c r="AK144" s="19"/>
      <c r="AL144" s="43" t="s">
        <v>139</v>
      </c>
      <c r="AM144" s="19">
        <v>0</v>
      </c>
      <c r="AN144" s="19" t="s">
        <v>1406</v>
      </c>
      <c r="AO144" s="19" t="s">
        <v>1531</v>
      </c>
      <c r="AP144" s="19">
        <v>9518</v>
      </c>
      <c r="AQ144" s="26">
        <f>IFERROR(PropInfo[[#This Row],[Yardi]]*1,PropInfo[[#This Row],[Yardi]])</f>
        <v>220</v>
      </c>
    </row>
    <row r="145" spans="1:43" hidden="1" x14ac:dyDescent="0.2">
      <c r="A145" s="43" t="s">
        <v>310</v>
      </c>
      <c r="B145" s="19" t="s">
        <v>311</v>
      </c>
      <c r="C145" s="37">
        <v>9</v>
      </c>
      <c r="D145" s="37">
        <v>15632</v>
      </c>
      <c r="E145" s="19" t="s">
        <v>762</v>
      </c>
      <c r="F145" s="19" t="s">
        <v>1409</v>
      </c>
      <c r="G145" s="19" t="s">
        <v>835</v>
      </c>
      <c r="H145" s="19" t="s">
        <v>307</v>
      </c>
      <c r="I145" s="19" t="s">
        <v>308</v>
      </c>
      <c r="J145" s="19" t="s">
        <v>309</v>
      </c>
      <c r="K145" s="19" t="s">
        <v>6</v>
      </c>
      <c r="L145" s="19">
        <v>94710</v>
      </c>
      <c r="M145" s="19">
        <v>37.867080999999999</v>
      </c>
      <c r="N145" s="19">
        <v>-122.299797</v>
      </c>
      <c r="O145" s="19" t="s">
        <v>786</v>
      </c>
      <c r="P145" s="19" t="s">
        <v>1414</v>
      </c>
      <c r="Q145" s="19" t="s">
        <v>853</v>
      </c>
      <c r="R145" s="19" t="s">
        <v>854</v>
      </c>
      <c r="S145" s="19" t="s">
        <v>855</v>
      </c>
      <c r="T145" s="19" t="s">
        <v>856</v>
      </c>
      <c r="U145" s="19" t="s">
        <v>779</v>
      </c>
      <c r="V145" s="19" t="s">
        <v>782</v>
      </c>
      <c r="W145" s="20">
        <v>1</v>
      </c>
      <c r="X145" s="39">
        <v>2010</v>
      </c>
      <c r="Y145" s="39">
        <v>2008</v>
      </c>
      <c r="Z145" s="25">
        <v>39391</v>
      </c>
      <c r="AA145" s="19">
        <v>2012</v>
      </c>
      <c r="AB145" s="25">
        <v>40544</v>
      </c>
      <c r="AC145" s="19" t="s">
        <v>804</v>
      </c>
      <c r="AD145" s="19" t="s">
        <v>800</v>
      </c>
      <c r="AE145" s="21">
        <v>0</v>
      </c>
      <c r="AF145" s="19">
        <v>5</v>
      </c>
      <c r="AG145" s="19">
        <v>3</v>
      </c>
      <c r="AH145" s="19" t="s">
        <v>809</v>
      </c>
      <c r="AI145" s="19"/>
      <c r="AJ145" s="19"/>
      <c r="AK145" s="19"/>
      <c r="AL145" s="43" t="e">
        <v>#N/A</v>
      </c>
      <c r="AM145" s="19" t="e">
        <v>#N/A</v>
      </c>
      <c r="AN145" s="19" t="e">
        <v>#N/A</v>
      </c>
      <c r="AO145" s="19" t="s">
        <v>1565</v>
      </c>
      <c r="AP145" s="19">
        <v>0</v>
      </c>
      <c r="AQ145" s="26">
        <f>IFERROR(PropInfo[[#This Row],[Yardi]]*1,PropInfo[[#This Row],[Yardi]])</f>
        <v>181</v>
      </c>
    </row>
    <row r="146" spans="1:43" x14ac:dyDescent="0.2">
      <c r="A146" s="43" t="s">
        <v>79</v>
      </c>
      <c r="B146" s="19" t="s">
        <v>80</v>
      </c>
      <c r="C146" s="37">
        <v>115</v>
      </c>
      <c r="D146" s="37">
        <v>172226</v>
      </c>
      <c r="E146" s="19" t="s" vm="64">
        <v>1368</v>
      </c>
      <c r="F146" s="19" t="s">
        <v>1409</v>
      </c>
      <c r="G146" s="19" t="s">
        <v>781</v>
      </c>
      <c r="H146" s="19" t="s">
        <v>80</v>
      </c>
      <c r="I146" s="19" t="s">
        <v>1038</v>
      </c>
      <c r="J146" s="19" t="s">
        <v>81</v>
      </c>
      <c r="K146" s="19" t="s">
        <v>6</v>
      </c>
      <c r="L146" s="19">
        <v>92612</v>
      </c>
      <c r="M146" s="19">
        <v>33.673862</v>
      </c>
      <c r="N146" s="19">
        <v>-117.858223</v>
      </c>
      <c r="O146" s="19" t="s">
        <v>929</v>
      </c>
      <c r="P146" s="19" t="s">
        <v>1415</v>
      </c>
      <c r="Q146" s="19" t="s">
        <v>1017</v>
      </c>
      <c r="R146" s="19" t="s">
        <v>510</v>
      </c>
      <c r="S146" s="19" t="s">
        <v>1024</v>
      </c>
      <c r="T146" s="19" t="s">
        <v>1039</v>
      </c>
      <c r="U146" s="19" t="s">
        <v>790</v>
      </c>
      <c r="V146" s="19" t="s">
        <v>782</v>
      </c>
      <c r="W146" s="20">
        <v>1</v>
      </c>
      <c r="X146" s="39">
        <v>2010</v>
      </c>
      <c r="Y146" s="39">
        <v>2010</v>
      </c>
      <c r="Z146" s="25">
        <v>40162</v>
      </c>
      <c r="AA146" s="19">
        <v>2011</v>
      </c>
      <c r="AB146" s="25">
        <v>40210</v>
      </c>
      <c r="AC146" s="19" t="s">
        <v>783</v>
      </c>
      <c r="AD146" s="19" t="s">
        <v>800</v>
      </c>
      <c r="AE146" s="21">
        <v>115</v>
      </c>
      <c r="AF146" s="19">
        <v>4</v>
      </c>
      <c r="AG146" s="19">
        <v>1</v>
      </c>
      <c r="AH146" s="19" t="s">
        <v>809</v>
      </c>
      <c r="AI146" s="19" t="s">
        <v>1390</v>
      </c>
      <c r="AJ146" s="19">
        <v>18</v>
      </c>
      <c r="AK146" s="19">
        <v>2040</v>
      </c>
      <c r="AL146" s="43" t="s">
        <v>79</v>
      </c>
      <c r="AM146" s="19">
        <v>0</v>
      </c>
      <c r="AN146" s="19" t="s">
        <v>1406</v>
      </c>
      <c r="AO146" s="19" t="s">
        <v>1584</v>
      </c>
      <c r="AP146" s="19">
        <v>34429</v>
      </c>
      <c r="AQ146" s="26">
        <f>IFERROR(PropInfo[[#This Row],[Yardi]]*1,PropInfo[[#This Row],[Yardi]])</f>
        <v>223</v>
      </c>
    </row>
    <row r="147" spans="1:43" hidden="1" x14ac:dyDescent="0.2">
      <c r="A147" s="43" t="s">
        <v>313</v>
      </c>
      <c r="B147" s="19" t="s">
        <v>314</v>
      </c>
      <c r="C147" s="37">
        <v>6</v>
      </c>
      <c r="D147" s="37">
        <v>40673</v>
      </c>
      <c r="E147" s="19" t="s">
        <v>762</v>
      </c>
      <c r="F147" s="19" t="s">
        <v>1409</v>
      </c>
      <c r="G147" s="19" t="s">
        <v>835</v>
      </c>
      <c r="H147" s="19" t="s">
        <v>912</v>
      </c>
      <c r="I147" s="19" t="s">
        <v>913</v>
      </c>
      <c r="J147" s="19" t="s">
        <v>106</v>
      </c>
      <c r="K147" s="19" t="s">
        <v>6</v>
      </c>
      <c r="L147" s="19">
        <v>94102</v>
      </c>
      <c r="M147" s="19">
        <v>37.777209999999997</v>
      </c>
      <c r="N147" s="19">
        <v>-122.41735799999999</v>
      </c>
      <c r="O147" s="19" t="s">
        <v>786</v>
      </c>
      <c r="P147" s="19" t="s">
        <v>1414</v>
      </c>
      <c r="Q147" s="19" t="s">
        <v>893</v>
      </c>
      <c r="R147" s="19" t="s">
        <v>106</v>
      </c>
      <c r="S147" s="19" t="s">
        <v>106</v>
      </c>
      <c r="T147" s="19" t="s">
        <v>914</v>
      </c>
      <c r="U147" s="19" t="s">
        <v>790</v>
      </c>
      <c r="V147" s="19" t="s">
        <v>782</v>
      </c>
      <c r="W147" s="20">
        <v>1</v>
      </c>
      <c r="X147" s="39">
        <v>1968</v>
      </c>
      <c r="Y147" s="39">
        <v>2013</v>
      </c>
      <c r="Z147" s="25">
        <v>41325</v>
      </c>
      <c r="AA147" s="19">
        <v>2015</v>
      </c>
      <c r="AB147" s="25">
        <v>41699</v>
      </c>
      <c r="AC147" s="19" t="s">
        <v>804</v>
      </c>
      <c r="AD147" s="19" t="s">
        <v>808</v>
      </c>
      <c r="AE147" s="21">
        <v>0</v>
      </c>
      <c r="AF147" s="19">
        <v>29</v>
      </c>
      <c r="AG147" s="19">
        <v>1</v>
      </c>
      <c r="AH147" s="19" t="s">
        <v>792</v>
      </c>
      <c r="AI147" s="19"/>
      <c r="AJ147" s="19"/>
      <c r="AK147" s="19"/>
      <c r="AL147" s="43" t="e">
        <v>#N/A</v>
      </c>
      <c r="AM147" s="19" t="e">
        <v>#N/A</v>
      </c>
      <c r="AN147" s="19" t="e">
        <v>#N/A</v>
      </c>
      <c r="AO147" s="19" t="s">
        <v>1565</v>
      </c>
      <c r="AP147" s="19">
        <v>0</v>
      </c>
      <c r="AQ147" s="26">
        <f>IFERROR(PropInfo[[#This Row],[Yardi]]*1,PropInfo[[#This Row],[Yardi]])</f>
        <v>248</v>
      </c>
    </row>
    <row r="148" spans="1:43" hidden="1" x14ac:dyDescent="0.2">
      <c r="A148" s="43" t="s">
        <v>715</v>
      </c>
      <c r="B148" s="19" t="s">
        <v>1209</v>
      </c>
      <c r="C148" s="37">
        <v>405</v>
      </c>
      <c r="D148" s="37">
        <v>65407.5</v>
      </c>
      <c r="E148" s="19" t="s">
        <v>762</v>
      </c>
      <c r="F148" s="19" t="s">
        <v>1409</v>
      </c>
      <c r="G148" s="19" t="s">
        <v>1210</v>
      </c>
      <c r="H148" s="19" t="s">
        <v>912</v>
      </c>
      <c r="I148" s="19" t="s">
        <v>913</v>
      </c>
      <c r="J148" s="19" t="s">
        <v>106</v>
      </c>
      <c r="K148" s="19" t="s">
        <v>6</v>
      </c>
      <c r="L148" s="19">
        <v>94102</v>
      </c>
      <c r="M148" s="19">
        <v>37.777209999999997</v>
      </c>
      <c r="N148" s="19">
        <v>-122.41735799999999</v>
      </c>
      <c r="O148" s="19" t="s">
        <v>786</v>
      </c>
      <c r="P148" s="19" t="s">
        <v>1414</v>
      </c>
      <c r="Q148" s="19" t="s">
        <v>893</v>
      </c>
      <c r="R148" s="19" t="s">
        <v>106</v>
      </c>
      <c r="S148" s="19" t="s">
        <v>106</v>
      </c>
      <c r="T148" s="19" t="s">
        <v>914</v>
      </c>
      <c r="U148" s="19" t="s">
        <v>790</v>
      </c>
      <c r="V148" s="19" t="s">
        <v>782</v>
      </c>
      <c r="W148" s="20">
        <v>1</v>
      </c>
      <c r="X148" s="39">
        <v>1968</v>
      </c>
      <c r="Y148" s="39">
        <v>2013</v>
      </c>
      <c r="Z148" s="25">
        <v>41325</v>
      </c>
      <c r="AA148" s="19">
        <v>2015</v>
      </c>
      <c r="AB148" s="25">
        <v>41699</v>
      </c>
      <c r="AC148" s="19" t="s">
        <v>804</v>
      </c>
      <c r="AD148" s="19" t="s">
        <v>1211</v>
      </c>
      <c r="AE148" s="21">
        <v>0</v>
      </c>
      <c r="AF148" s="19">
        <v>2</v>
      </c>
      <c r="AG148" s="19">
        <v>1</v>
      </c>
      <c r="AH148" s="19" t="s">
        <v>792</v>
      </c>
      <c r="AI148" s="19"/>
      <c r="AJ148" s="19"/>
      <c r="AK148" s="19"/>
      <c r="AL148" s="43" t="e">
        <v>#N/A</v>
      </c>
      <c r="AM148" s="19" t="e">
        <v>#N/A</v>
      </c>
      <c r="AN148" s="19" t="e">
        <v>#N/A</v>
      </c>
      <c r="AO148" s="19" t="s">
        <v>1565</v>
      </c>
      <c r="AP148" s="19">
        <v>0</v>
      </c>
      <c r="AQ148" s="26">
        <f>IFERROR(PropInfo[[#This Row],[Yardi]]*1,PropInfo[[#This Row],[Yardi]])</f>
        <v>243</v>
      </c>
    </row>
    <row r="149" spans="1:43" hidden="1" x14ac:dyDescent="0.2">
      <c r="A149" s="43" t="s">
        <v>719</v>
      </c>
      <c r="B149" s="19" t="s">
        <v>1163</v>
      </c>
      <c r="C149" s="37">
        <v>1</v>
      </c>
      <c r="D149" s="37"/>
      <c r="E149" s="19" t="s">
        <v>762</v>
      </c>
      <c r="F149" s="19" t="s">
        <v>1409</v>
      </c>
      <c r="G149" s="19" t="s">
        <v>835</v>
      </c>
      <c r="H149" s="19" t="s">
        <v>1163</v>
      </c>
      <c r="I149" s="19" t="s">
        <v>316</v>
      </c>
      <c r="J149" s="19" t="s">
        <v>317</v>
      </c>
      <c r="K149" s="19" t="s">
        <v>6</v>
      </c>
      <c r="L149" s="19">
        <v>94588</v>
      </c>
      <c r="M149" s="19">
        <v>37.697775999999998</v>
      </c>
      <c r="N149" s="19">
        <v>-121.8982</v>
      </c>
      <c r="O149" s="19" t="s">
        <v>786</v>
      </c>
      <c r="P149" s="19" t="s">
        <v>1414</v>
      </c>
      <c r="Q149" s="19" t="s">
        <v>853</v>
      </c>
      <c r="R149" s="19" t="s">
        <v>854</v>
      </c>
      <c r="S149" s="19" t="s">
        <v>87</v>
      </c>
      <c r="T149" s="19" t="s">
        <v>880</v>
      </c>
      <c r="U149" s="19" t="s">
        <v>779</v>
      </c>
      <c r="V149" s="19" t="s">
        <v>817</v>
      </c>
      <c r="W149" s="20">
        <v>1</v>
      </c>
      <c r="X149" s="39">
        <v>2016</v>
      </c>
      <c r="Y149" s="39">
        <v>2014</v>
      </c>
      <c r="Z149" s="25">
        <v>41730</v>
      </c>
      <c r="AA149" s="19">
        <v>2018</v>
      </c>
      <c r="AB149" s="25">
        <v>42979</v>
      </c>
      <c r="AC149" s="19" t="s">
        <v>804</v>
      </c>
      <c r="AD149" s="19" t="s">
        <v>800</v>
      </c>
      <c r="AE149" s="21">
        <v>0</v>
      </c>
      <c r="AF149" s="19">
        <v>5</v>
      </c>
      <c r="AG149" s="19">
        <v>8</v>
      </c>
      <c r="AH149" s="19"/>
      <c r="AI149" s="19"/>
      <c r="AJ149" s="19"/>
      <c r="AK149" s="19"/>
      <c r="AL149" s="43" t="e">
        <v>#N/A</v>
      </c>
      <c r="AM149" s="19" t="e">
        <v>#N/A</v>
      </c>
      <c r="AN149" s="19" t="e">
        <v>#N/A</v>
      </c>
      <c r="AO149" s="19" t="s">
        <v>1565</v>
      </c>
      <c r="AP149" s="19" t="e">
        <v>#N/A</v>
      </c>
      <c r="AQ149" s="26">
        <f>IFERROR(PropInfo[[#This Row],[Yardi]]*1,PropInfo[[#This Row],[Yardi]])</f>
        <v>491</v>
      </c>
    </row>
    <row r="150" spans="1:43" x14ac:dyDescent="0.2">
      <c r="A150" s="43" t="s">
        <v>517</v>
      </c>
      <c r="B150" s="19" t="s">
        <v>518</v>
      </c>
      <c r="C150" s="37">
        <v>230</v>
      </c>
      <c r="D150" s="37">
        <v>178942</v>
      </c>
      <c r="E150" s="19" t="s">
        <v>1368</v>
      </c>
      <c r="F150" s="19" t="s">
        <v>1409</v>
      </c>
      <c r="G150" s="19" t="s">
        <v>781</v>
      </c>
      <c r="H150" s="19" t="s">
        <v>518</v>
      </c>
      <c r="I150" s="19" t="s">
        <v>519</v>
      </c>
      <c r="J150" s="19" t="s">
        <v>489</v>
      </c>
      <c r="K150" s="19" t="s">
        <v>6</v>
      </c>
      <c r="L150" s="19">
        <v>95014</v>
      </c>
      <c r="M150" s="19">
        <v>37.321491000000002</v>
      </c>
      <c r="N150" s="19">
        <v>-122.000106</v>
      </c>
      <c r="O150" s="19" t="s">
        <v>786</v>
      </c>
      <c r="P150" s="19" t="s">
        <v>1414</v>
      </c>
      <c r="Q150" s="19" t="s">
        <v>787</v>
      </c>
      <c r="R150" s="19" t="s">
        <v>5</v>
      </c>
      <c r="S150" s="19" t="s">
        <v>788</v>
      </c>
      <c r="T150" s="19" t="s">
        <v>793</v>
      </c>
      <c r="U150" s="19" t="s">
        <v>790</v>
      </c>
      <c r="V150" s="19" t="s">
        <v>794</v>
      </c>
      <c r="W150" s="20">
        <v>1</v>
      </c>
      <c r="X150" s="39">
        <v>1971</v>
      </c>
      <c r="Y150" s="39">
        <v>2017</v>
      </c>
      <c r="Z150" s="25">
        <v>42825</v>
      </c>
      <c r="AA150" s="19">
        <v>2018</v>
      </c>
      <c r="AB150" s="25">
        <v>42856</v>
      </c>
      <c r="AC150" s="19" t="s">
        <v>783</v>
      </c>
      <c r="AD150" s="19" t="s">
        <v>784</v>
      </c>
      <c r="AE150" s="21">
        <v>0</v>
      </c>
      <c r="AF150" s="19">
        <v>3</v>
      </c>
      <c r="AG150" s="19">
        <v>18</v>
      </c>
      <c r="AH150" s="19"/>
      <c r="AI150" s="19" t="s">
        <v>1384</v>
      </c>
      <c r="AJ150" s="19">
        <v>230</v>
      </c>
      <c r="AK150" s="19" t="s">
        <v>1379</v>
      </c>
      <c r="AL150" s="43" t="s">
        <v>517</v>
      </c>
      <c r="AM150" s="19">
        <v>0</v>
      </c>
      <c r="AN150" s="19" t="s">
        <v>1406</v>
      </c>
      <c r="AO150" s="19" t="s">
        <v>1531</v>
      </c>
      <c r="AP150" s="19">
        <v>0</v>
      </c>
      <c r="AQ150" s="26">
        <f>IFERROR(PropInfo[[#This Row],[Yardi]]*1,PropInfo[[#This Row],[Yardi]])</f>
        <v>224</v>
      </c>
    </row>
    <row r="151" spans="1:43" x14ac:dyDescent="0.2">
      <c r="A151" s="43" t="s">
        <v>157</v>
      </c>
      <c r="B151" s="19" t="s">
        <v>158</v>
      </c>
      <c r="C151" s="37">
        <v>102</v>
      </c>
      <c r="D151" s="37">
        <v>130780</v>
      </c>
      <c r="E151" s="19" t="s" vm="119">
        <v>1368</v>
      </c>
      <c r="F151" s="19" t="s">
        <v>1409</v>
      </c>
      <c r="G151" s="19" t="s">
        <v>781</v>
      </c>
      <c r="H151" s="19" t="s">
        <v>158</v>
      </c>
      <c r="I151" s="19" t="s">
        <v>159</v>
      </c>
      <c r="J151" s="19" t="s">
        <v>160</v>
      </c>
      <c r="K151" s="19" t="s">
        <v>6</v>
      </c>
      <c r="L151" s="19">
        <v>92833</v>
      </c>
      <c r="M151" s="19">
        <v>33.886477999999997</v>
      </c>
      <c r="N151" s="19">
        <v>-117.96614099999999</v>
      </c>
      <c r="O151" s="19" t="s">
        <v>929</v>
      </c>
      <c r="P151" s="19" t="s">
        <v>1415</v>
      </c>
      <c r="Q151" s="19" t="s">
        <v>1017</v>
      </c>
      <c r="R151" s="19" t="s">
        <v>510</v>
      </c>
      <c r="S151" s="19" t="s">
        <v>1018</v>
      </c>
      <c r="T151" s="19" t="s">
        <v>160</v>
      </c>
      <c r="U151" s="19" t="s">
        <v>790</v>
      </c>
      <c r="V151" s="19" t="s">
        <v>794</v>
      </c>
      <c r="W151" s="20">
        <v>1</v>
      </c>
      <c r="X151" s="39">
        <v>1961</v>
      </c>
      <c r="Y151" s="39">
        <v>2001</v>
      </c>
      <c r="Z151" s="25">
        <v>37154</v>
      </c>
      <c r="AA151" s="19">
        <v>2002</v>
      </c>
      <c r="AB151" s="25">
        <v>37195</v>
      </c>
      <c r="AC151" s="19" t="s">
        <v>783</v>
      </c>
      <c r="AD151" s="19" t="s">
        <v>784</v>
      </c>
      <c r="AE151" s="21">
        <v>102</v>
      </c>
      <c r="AF151" s="19">
        <v>2</v>
      </c>
      <c r="AG151" s="19">
        <v>25</v>
      </c>
      <c r="AH151" s="19" t="s">
        <v>785</v>
      </c>
      <c r="AI151" s="19"/>
      <c r="AJ151" s="19"/>
      <c r="AK151" s="19"/>
      <c r="AL151" s="43" t="s">
        <v>157</v>
      </c>
      <c r="AM151" s="19">
        <v>0</v>
      </c>
      <c r="AN151" s="19" t="s">
        <v>1406</v>
      </c>
      <c r="AO151" s="19" t="s">
        <v>1359</v>
      </c>
      <c r="AP151" s="19">
        <v>13193</v>
      </c>
      <c r="AQ151" s="26">
        <f>IFERROR(PropInfo[[#This Row],[Yardi]]*1,PropInfo[[#This Row],[Yardi]])</f>
        <v>225</v>
      </c>
    </row>
    <row r="152" spans="1:43" hidden="1" x14ac:dyDescent="0.2">
      <c r="A152" s="43" t="s">
        <v>319</v>
      </c>
      <c r="B152" s="19" t="s">
        <v>1174</v>
      </c>
      <c r="C152" s="37">
        <v>4</v>
      </c>
      <c r="D152" s="37">
        <v>22890</v>
      </c>
      <c r="E152" s="19" t="s">
        <v>799</v>
      </c>
      <c r="F152" s="19" t="s">
        <v>1409</v>
      </c>
      <c r="G152" s="19" t="s">
        <v>835</v>
      </c>
      <c r="H152" s="19" t="s">
        <v>947</v>
      </c>
      <c r="I152" s="19" t="s">
        <v>948</v>
      </c>
      <c r="J152" s="19" t="s">
        <v>21</v>
      </c>
      <c r="K152" s="19" t="s">
        <v>6</v>
      </c>
      <c r="L152" s="19">
        <v>90017</v>
      </c>
      <c r="M152" s="19">
        <v>34.046863999999999</v>
      </c>
      <c r="N152" s="19">
        <v>-118.260391</v>
      </c>
      <c r="O152" s="19" t="s">
        <v>929</v>
      </c>
      <c r="P152" s="19" t="s">
        <v>1413</v>
      </c>
      <c r="Q152" s="19" t="s">
        <v>930</v>
      </c>
      <c r="R152" s="19" t="s">
        <v>21</v>
      </c>
      <c r="S152" s="19" t="s">
        <v>944</v>
      </c>
      <c r="T152" s="19" t="s">
        <v>945</v>
      </c>
      <c r="U152" s="19" t="s">
        <v>790</v>
      </c>
      <c r="V152" s="19" t="s">
        <v>799</v>
      </c>
      <c r="W152" s="20">
        <v>0.5</v>
      </c>
      <c r="X152" s="39">
        <v>2004</v>
      </c>
      <c r="Y152" s="39">
        <v>2013</v>
      </c>
      <c r="Z152" s="25">
        <v>41453</v>
      </c>
      <c r="AA152" s="19">
        <v>2014</v>
      </c>
      <c r="AB152" s="25">
        <v>41609</v>
      </c>
      <c r="AC152" s="19" t="s">
        <v>804</v>
      </c>
      <c r="AD152" s="19" t="s">
        <v>808</v>
      </c>
      <c r="AE152" s="21">
        <v>0</v>
      </c>
      <c r="AF152" s="19">
        <v>13</v>
      </c>
      <c r="AG152" s="19">
        <v>3</v>
      </c>
      <c r="AH152" s="19" t="s">
        <v>792</v>
      </c>
      <c r="AI152" s="19"/>
      <c r="AJ152" s="19"/>
      <c r="AK152" s="19"/>
      <c r="AL152" s="43" t="e">
        <v>#N/A</v>
      </c>
      <c r="AM152" s="19" t="e">
        <v>#N/A</v>
      </c>
      <c r="AN152" s="19" t="e">
        <v>#N/A</v>
      </c>
      <c r="AO152" s="19" t="s">
        <v>1565</v>
      </c>
      <c r="AP152" s="19">
        <v>0</v>
      </c>
      <c r="AQ152" s="26">
        <f>IFERROR(PropInfo[[#This Row],[Yardi]]*1,PropInfo[[#This Row],[Yardi]])</f>
        <v>389</v>
      </c>
    </row>
    <row r="153" spans="1:43" x14ac:dyDescent="0.2">
      <c r="A153" s="43" t="s">
        <v>263</v>
      </c>
      <c r="B153" s="19" t="s">
        <v>1566</v>
      </c>
      <c r="C153" s="37">
        <v>616</v>
      </c>
      <c r="D153" s="37">
        <v>479600</v>
      </c>
      <c r="E153" s="19" t="s" vm="123">
        <v>906</v>
      </c>
      <c r="F153" s="19" t="s">
        <v>1409</v>
      </c>
      <c r="G153" s="19" t="s">
        <v>781</v>
      </c>
      <c r="H153" s="19" t="s">
        <v>1060</v>
      </c>
      <c r="I153" s="19" t="s">
        <v>1061</v>
      </c>
      <c r="J153" s="19" t="s">
        <v>39</v>
      </c>
      <c r="K153" s="19" t="s">
        <v>6</v>
      </c>
      <c r="L153" s="19">
        <v>92126</v>
      </c>
      <c r="M153" s="19">
        <v>32.9030038</v>
      </c>
      <c r="N153" s="19">
        <v>-117.1440094</v>
      </c>
      <c r="O153" s="19" t="s">
        <v>929</v>
      </c>
      <c r="P153" s="19" t="s">
        <v>1415</v>
      </c>
      <c r="Q153" s="19" t="s">
        <v>1052</v>
      </c>
      <c r="R153" s="19" t="s">
        <v>39</v>
      </c>
      <c r="S153" s="19" t="s">
        <v>1058</v>
      </c>
      <c r="T153" s="19" t="s">
        <v>1059</v>
      </c>
      <c r="U153" s="19" t="s">
        <v>820</v>
      </c>
      <c r="V153" s="19" t="s">
        <v>1028</v>
      </c>
      <c r="W153" s="20">
        <v>0.500000004</v>
      </c>
      <c r="X153" s="39">
        <v>1986</v>
      </c>
      <c r="Y153" s="39">
        <v>2014</v>
      </c>
      <c r="Z153" s="25">
        <v>41730</v>
      </c>
      <c r="AA153" s="19">
        <v>2005</v>
      </c>
      <c r="AB153" s="25">
        <v>38169</v>
      </c>
      <c r="AC153" s="19" t="s">
        <v>783</v>
      </c>
      <c r="AD153" s="19" t="s">
        <v>784</v>
      </c>
      <c r="AE153" s="21">
        <v>616</v>
      </c>
      <c r="AF153" s="19">
        <v>2</v>
      </c>
      <c r="AG153" s="19">
        <v>77</v>
      </c>
      <c r="AH153" s="19" t="s">
        <v>870</v>
      </c>
      <c r="AI153" s="19"/>
      <c r="AJ153" s="19"/>
      <c r="AK153" s="19"/>
      <c r="AL153" s="43" t="s">
        <v>265</v>
      </c>
      <c r="AM153" s="19">
        <v>0</v>
      </c>
      <c r="AN153" s="19" t="s">
        <v>1406</v>
      </c>
      <c r="AO153" s="19" t="s">
        <v>1358</v>
      </c>
      <c r="AP153" s="19">
        <v>49296</v>
      </c>
      <c r="AQ153" s="26" t="str">
        <f>IFERROR(PropInfo[[#This Row],[Yardi]]*1,PropInfo[[#This Row],[Yardi]])</f>
        <v>san1101</v>
      </c>
    </row>
    <row r="154" spans="1:43" hidden="1" x14ac:dyDescent="0.2">
      <c r="A154" s="43" t="s">
        <v>577</v>
      </c>
      <c r="B154" s="19" t="s">
        <v>1164</v>
      </c>
      <c r="C154" s="37">
        <v>4</v>
      </c>
      <c r="D154" s="37">
        <v>5093</v>
      </c>
      <c r="E154" s="19" t="s">
        <v>762</v>
      </c>
      <c r="F154" s="19" t="s">
        <v>1409</v>
      </c>
      <c r="G154" s="19" t="s">
        <v>835</v>
      </c>
      <c r="H154" s="19" t="s">
        <v>872</v>
      </c>
      <c r="I154" s="19" t="s">
        <v>873</v>
      </c>
      <c r="J154" s="19" t="s">
        <v>507</v>
      </c>
      <c r="K154" s="19" t="s">
        <v>6</v>
      </c>
      <c r="L154" s="19">
        <v>94612</v>
      </c>
      <c r="M154" s="19">
        <v>37.811419999999998</v>
      </c>
      <c r="N154" s="19">
        <v>-122.26520499999999</v>
      </c>
      <c r="O154" s="19" t="s">
        <v>786</v>
      </c>
      <c r="P154" s="19" t="s">
        <v>1414</v>
      </c>
      <c r="Q154" s="19" t="s">
        <v>853</v>
      </c>
      <c r="R154" s="19" t="s">
        <v>854</v>
      </c>
      <c r="S154" s="19" t="s">
        <v>855</v>
      </c>
      <c r="T154" s="19" t="s">
        <v>856</v>
      </c>
      <c r="U154" s="19" t="s">
        <v>779</v>
      </c>
      <c r="V154" s="19" t="s">
        <v>782</v>
      </c>
      <c r="W154" s="20">
        <v>1</v>
      </c>
      <c r="X154" s="39">
        <v>2009</v>
      </c>
      <c r="Y154" s="39">
        <v>2006</v>
      </c>
      <c r="Z154" s="25">
        <v>38590</v>
      </c>
      <c r="AA154" s="19">
        <v>2010</v>
      </c>
      <c r="AB154" s="25">
        <v>40026</v>
      </c>
      <c r="AC154" s="19" t="s">
        <v>804</v>
      </c>
      <c r="AD154" s="19" t="s">
        <v>808</v>
      </c>
      <c r="AE154" s="21">
        <v>0</v>
      </c>
      <c r="AF154" s="19">
        <v>22</v>
      </c>
      <c r="AG154" s="19">
        <v>1</v>
      </c>
      <c r="AH154" s="19" t="s">
        <v>809</v>
      </c>
      <c r="AI154" s="19"/>
      <c r="AJ154" s="19"/>
      <c r="AK154" s="19"/>
      <c r="AL154" s="43" t="e">
        <v>#N/A</v>
      </c>
      <c r="AM154" s="19" t="e">
        <v>#N/A</v>
      </c>
      <c r="AN154" s="19" t="e">
        <v>#N/A</v>
      </c>
      <c r="AO154" s="19" t="s">
        <v>1565</v>
      </c>
      <c r="AP154" s="19">
        <v>0</v>
      </c>
      <c r="AQ154" s="26">
        <f>IFERROR(PropInfo[[#This Row],[Yardi]]*1,PropInfo[[#This Row],[Yardi]])</f>
        <v>183</v>
      </c>
    </row>
    <row r="155" spans="1:43" x14ac:dyDescent="0.2">
      <c r="A155" s="43" t="s">
        <v>281</v>
      </c>
      <c r="B155" s="19" t="s">
        <v>282</v>
      </c>
      <c r="C155" s="37">
        <v>194</v>
      </c>
      <c r="D155" s="37">
        <v>189260</v>
      </c>
      <c r="E155" s="19" t="s" vm="71">
        <v>1368</v>
      </c>
      <c r="F155" s="19" t="s">
        <v>1409</v>
      </c>
      <c r="G155" s="19" t="s">
        <v>781</v>
      </c>
      <c r="H155" s="19" t="s">
        <v>282</v>
      </c>
      <c r="I155" s="19" t="s">
        <v>283</v>
      </c>
      <c r="J155" s="19" t="s">
        <v>135</v>
      </c>
      <c r="K155" s="19" t="s">
        <v>27</v>
      </c>
      <c r="L155" s="19">
        <v>98058</v>
      </c>
      <c r="M155" s="19">
        <v>47.444118000000003</v>
      </c>
      <c r="N155" s="19">
        <v>-122.145134</v>
      </c>
      <c r="O155" s="19" t="s">
        <v>1090</v>
      </c>
      <c r="P155" s="19" t="s">
        <v>1412</v>
      </c>
      <c r="Q155" s="19" t="s">
        <v>1091</v>
      </c>
      <c r="R155" s="19" t="s">
        <v>1092</v>
      </c>
      <c r="S155" s="19" t="s">
        <v>1114</v>
      </c>
      <c r="T155" s="19" t="s">
        <v>135</v>
      </c>
      <c r="U155" s="19" t="s">
        <v>790</v>
      </c>
      <c r="V155" s="19" t="s">
        <v>782</v>
      </c>
      <c r="W155" s="20">
        <v>1</v>
      </c>
      <c r="X155" s="39">
        <v>1997</v>
      </c>
      <c r="Y155" s="39">
        <v>2004</v>
      </c>
      <c r="Z155" s="25">
        <v>38289</v>
      </c>
      <c r="AA155" s="19">
        <v>2005</v>
      </c>
      <c r="AB155" s="25">
        <v>38321</v>
      </c>
      <c r="AC155" s="19" t="s">
        <v>783</v>
      </c>
      <c r="AD155" s="19" t="s">
        <v>784</v>
      </c>
      <c r="AE155" s="21" t="s">
        <v>1494</v>
      </c>
      <c r="AF155" s="19">
        <v>3</v>
      </c>
      <c r="AG155" s="19">
        <v>14</v>
      </c>
      <c r="AH155" s="19" t="s">
        <v>870</v>
      </c>
      <c r="AI155" s="19"/>
      <c r="AJ155" s="19"/>
      <c r="AK155" s="19"/>
      <c r="AL155" s="43" t="s">
        <v>281</v>
      </c>
      <c r="AM155" s="19">
        <v>0</v>
      </c>
      <c r="AN155" s="19" t="s">
        <v>1406</v>
      </c>
      <c r="AO155" s="19" t="s">
        <v>1353</v>
      </c>
      <c r="AP155" s="19">
        <v>10074</v>
      </c>
      <c r="AQ155" s="26">
        <f>IFERROR(PropInfo[[#This Row],[Yardi]]*1,PropInfo[[#This Row],[Yardi]])</f>
        <v>229</v>
      </c>
    </row>
    <row r="156" spans="1:43" x14ac:dyDescent="0.2">
      <c r="A156" s="43" t="s">
        <v>419</v>
      </c>
      <c r="B156" s="19" t="s">
        <v>420</v>
      </c>
      <c r="C156" s="37">
        <v>124</v>
      </c>
      <c r="D156" s="37">
        <v>104422</v>
      </c>
      <c r="E156" s="19" t="s" vm="65">
        <v>1368</v>
      </c>
      <c r="F156" s="19" t="s">
        <v>1409</v>
      </c>
      <c r="G156" s="19" t="s">
        <v>781</v>
      </c>
      <c r="H156" s="19" t="s">
        <v>420</v>
      </c>
      <c r="I156" s="19" t="s">
        <v>421</v>
      </c>
      <c r="J156" s="19" t="s">
        <v>422</v>
      </c>
      <c r="K156" s="19" t="s">
        <v>6</v>
      </c>
      <c r="L156" s="19">
        <v>92841</v>
      </c>
      <c r="M156" s="19">
        <v>33.775016999999998</v>
      </c>
      <c r="N156" s="19">
        <v>-117.98407</v>
      </c>
      <c r="O156" s="19" t="s">
        <v>929</v>
      </c>
      <c r="P156" s="19" t="s">
        <v>1415</v>
      </c>
      <c r="Q156" s="19" t="s">
        <v>1017</v>
      </c>
      <c r="R156" s="19" t="s">
        <v>510</v>
      </c>
      <c r="S156" s="19" t="s">
        <v>1018</v>
      </c>
      <c r="T156" s="19" t="s">
        <v>1033</v>
      </c>
      <c r="U156" s="19" t="s">
        <v>790</v>
      </c>
      <c r="V156" s="19" t="s">
        <v>782</v>
      </c>
      <c r="W156" s="20">
        <v>1</v>
      </c>
      <c r="X156" s="39">
        <v>1974</v>
      </c>
      <c r="Y156" s="39">
        <v>2001</v>
      </c>
      <c r="Z156" s="25">
        <v>36832</v>
      </c>
      <c r="AA156" s="19">
        <v>2001</v>
      </c>
      <c r="AB156" s="25">
        <v>36891</v>
      </c>
      <c r="AC156" s="19" t="s">
        <v>783</v>
      </c>
      <c r="AD156" s="19" t="s">
        <v>784</v>
      </c>
      <c r="AE156" s="21">
        <v>0</v>
      </c>
      <c r="AF156" s="19">
        <v>2</v>
      </c>
      <c r="AG156" s="19">
        <v>8</v>
      </c>
      <c r="AH156" s="19" t="s">
        <v>870</v>
      </c>
      <c r="AI156" s="19"/>
      <c r="AJ156" s="19"/>
      <c r="AK156" s="19"/>
      <c r="AL156" s="43" t="s">
        <v>419</v>
      </c>
      <c r="AM156" s="19">
        <v>0</v>
      </c>
      <c r="AN156" s="19" t="s">
        <v>1406</v>
      </c>
      <c r="AO156" s="19" t="s">
        <v>1529</v>
      </c>
      <c r="AP156" s="19">
        <v>13230</v>
      </c>
      <c r="AQ156" s="26">
        <f>IFERROR(PropInfo[[#This Row],[Yardi]]*1,PropInfo[[#This Row],[Yardi]])</f>
        <v>232</v>
      </c>
    </row>
    <row r="157" spans="1:43" x14ac:dyDescent="0.2">
      <c r="A157" s="43" t="s">
        <v>276</v>
      </c>
      <c r="B157" s="19" t="s">
        <v>277</v>
      </c>
      <c r="C157" s="37">
        <v>164</v>
      </c>
      <c r="D157" s="37">
        <v>143400</v>
      </c>
      <c r="E157" s="19" t="s" vm="121">
        <v>1368</v>
      </c>
      <c r="F157" s="19" t="s">
        <v>1409</v>
      </c>
      <c r="G157" s="19" t="s">
        <v>781</v>
      </c>
      <c r="H157" s="19" t="s">
        <v>277</v>
      </c>
      <c r="I157" s="19" t="s">
        <v>1048</v>
      </c>
      <c r="J157" s="19" t="s">
        <v>121</v>
      </c>
      <c r="K157" s="19" t="s">
        <v>6</v>
      </c>
      <c r="L157" s="19">
        <v>92705</v>
      </c>
      <c r="M157" s="19">
        <v>33.771769999999997</v>
      </c>
      <c r="N157" s="19">
        <v>-117.85247</v>
      </c>
      <c r="O157" s="19" t="s">
        <v>929</v>
      </c>
      <c r="P157" s="19" t="s">
        <v>1415</v>
      </c>
      <c r="Q157" s="19" t="s">
        <v>1017</v>
      </c>
      <c r="R157" s="19" t="s">
        <v>510</v>
      </c>
      <c r="S157" s="19" t="s">
        <v>1018</v>
      </c>
      <c r="T157" s="19" t="s">
        <v>1049</v>
      </c>
      <c r="U157" s="19" t="s">
        <v>790</v>
      </c>
      <c r="V157" s="19" t="s">
        <v>794</v>
      </c>
      <c r="W157" s="20">
        <v>1</v>
      </c>
      <c r="X157" s="39">
        <v>1970</v>
      </c>
      <c r="Y157" s="39">
        <v>2001</v>
      </c>
      <c r="Z157" s="25">
        <v>37196</v>
      </c>
      <c r="AA157" s="19">
        <v>2002</v>
      </c>
      <c r="AB157" s="25">
        <v>37256</v>
      </c>
      <c r="AC157" s="19" t="s">
        <v>783</v>
      </c>
      <c r="AD157" s="19" t="s">
        <v>784</v>
      </c>
      <c r="AE157" s="21">
        <v>0</v>
      </c>
      <c r="AF157" s="19">
        <v>3</v>
      </c>
      <c r="AG157" s="19">
        <v>8</v>
      </c>
      <c r="AH157" s="19" t="s">
        <v>870</v>
      </c>
      <c r="AI157" s="19"/>
      <c r="AJ157" s="19"/>
      <c r="AK157" s="19"/>
      <c r="AL157" s="43" t="s">
        <v>276</v>
      </c>
      <c r="AM157" s="19">
        <v>0</v>
      </c>
      <c r="AN157" s="19" t="s">
        <v>1406</v>
      </c>
      <c r="AO157" s="19" t="s">
        <v>1361</v>
      </c>
      <c r="AP157" s="19">
        <v>12541</v>
      </c>
      <c r="AQ157" s="26">
        <f>IFERROR(PropInfo[[#This Row],[Yardi]]*1,PropInfo[[#This Row],[Yardi]])</f>
        <v>239</v>
      </c>
    </row>
    <row r="158" spans="1:43" x14ac:dyDescent="0.2">
      <c r="A158" s="43" t="s">
        <v>617</v>
      </c>
      <c r="B158" s="19" t="s">
        <v>1446</v>
      </c>
      <c r="C158" s="37">
        <v>256</v>
      </c>
      <c r="D158" s="37">
        <v>217216</v>
      </c>
      <c r="E158" s="19" t="s" vm="210">
        <v>1368</v>
      </c>
      <c r="F158" s="19" t="s">
        <v>1409</v>
      </c>
      <c r="G158" s="19" t="s">
        <v>781</v>
      </c>
      <c r="H158" s="19" t="s">
        <v>1030</v>
      </c>
      <c r="I158" s="19" t="s">
        <v>1031</v>
      </c>
      <c r="J158" s="19" t="s">
        <v>618</v>
      </c>
      <c r="K158" s="19" t="s">
        <v>6</v>
      </c>
      <c r="L158" s="19">
        <v>92870</v>
      </c>
      <c r="M158" s="19">
        <v>33.872532</v>
      </c>
      <c r="N158" s="19">
        <v>-117.867172</v>
      </c>
      <c r="O158" s="19" t="s">
        <v>929</v>
      </c>
      <c r="P158" s="19" t="s">
        <v>1415</v>
      </c>
      <c r="Q158" s="19" t="s">
        <v>1017</v>
      </c>
      <c r="R158" s="19" t="s">
        <v>510</v>
      </c>
      <c r="S158" s="19" t="s">
        <v>1018</v>
      </c>
      <c r="T158" s="19" t="s">
        <v>1032</v>
      </c>
      <c r="U158" s="19" t="s">
        <v>790</v>
      </c>
      <c r="V158" s="19" t="s">
        <v>782</v>
      </c>
      <c r="W158" s="20">
        <v>1</v>
      </c>
      <c r="X158" s="39">
        <v>1970</v>
      </c>
      <c r="Y158" s="39">
        <v>2001</v>
      </c>
      <c r="Z158" s="25">
        <v>37196</v>
      </c>
      <c r="AA158" s="19">
        <v>2002</v>
      </c>
      <c r="AB158" s="25">
        <v>37256</v>
      </c>
      <c r="AC158" s="19" t="s">
        <v>783</v>
      </c>
      <c r="AD158" s="19" t="s">
        <v>784</v>
      </c>
      <c r="AE158" s="21">
        <v>0</v>
      </c>
      <c r="AF158" s="19">
        <v>3</v>
      </c>
      <c r="AG158" s="19">
        <v>7</v>
      </c>
      <c r="AH158" s="19" t="s">
        <v>785</v>
      </c>
      <c r="AI158" s="19"/>
      <c r="AJ158" s="19"/>
      <c r="AK158" s="19"/>
      <c r="AL158" s="43" t="s">
        <v>617</v>
      </c>
      <c r="AM158" s="19">
        <v>0</v>
      </c>
      <c r="AN158" s="19" t="s">
        <v>1406</v>
      </c>
      <c r="AO158" s="19" t="s">
        <v>1359</v>
      </c>
      <c r="AP158" s="19">
        <v>13194</v>
      </c>
      <c r="AQ158" s="26">
        <f>IFERROR(PropInfo[[#This Row],[Yardi]]*1,PropInfo[[#This Row],[Yardi]])</f>
        <v>241</v>
      </c>
    </row>
    <row r="159" spans="1:43" hidden="1" x14ac:dyDescent="0.2">
      <c r="A159" s="43" t="s">
        <v>328</v>
      </c>
      <c r="B159" s="19" t="s">
        <v>1207</v>
      </c>
      <c r="C159" s="37">
        <v>1</v>
      </c>
      <c r="D159" s="37">
        <v>52608</v>
      </c>
      <c r="E159" s="19" t="s" vm="114">
        <v>925</v>
      </c>
      <c r="F159" s="19" t="s">
        <v>1409</v>
      </c>
      <c r="G159" s="19" t="s">
        <v>1208</v>
      </c>
      <c r="H159" s="19" t="s">
        <v>1421</v>
      </c>
      <c r="I159" s="19" t="s">
        <v>869</v>
      </c>
      <c r="J159" s="19" t="s">
        <v>193</v>
      </c>
      <c r="K159" s="19" t="s">
        <v>6</v>
      </c>
      <c r="L159" s="19">
        <v>94542</v>
      </c>
      <c r="M159" s="19">
        <v>37.660130000000002</v>
      </c>
      <c r="N159" s="19">
        <v>-122.0667</v>
      </c>
      <c r="O159" s="19" t="s">
        <v>786</v>
      </c>
      <c r="P159" s="19" t="s">
        <v>1414</v>
      </c>
      <c r="Q159" s="19" t="s">
        <v>853</v>
      </c>
      <c r="R159" s="19" t="s">
        <v>854</v>
      </c>
      <c r="S159" s="19" t="s">
        <v>119</v>
      </c>
      <c r="T159" s="19" t="s">
        <v>867</v>
      </c>
      <c r="U159" s="19" t="s">
        <v>790</v>
      </c>
      <c r="V159" s="19" t="s">
        <v>782</v>
      </c>
      <c r="W159" s="20">
        <v>1</v>
      </c>
      <c r="X159" s="39">
        <v>1975</v>
      </c>
      <c r="Y159" s="39">
        <v>1998</v>
      </c>
      <c r="Z159" s="25">
        <v>35857</v>
      </c>
      <c r="AA159" s="19">
        <v>1999</v>
      </c>
      <c r="AB159" s="25">
        <v>35915</v>
      </c>
      <c r="AC159" s="19" t="s">
        <v>804</v>
      </c>
      <c r="AD159" s="19" t="s">
        <v>1208</v>
      </c>
      <c r="AE159" s="21">
        <v>0</v>
      </c>
      <c r="AF159" s="19">
        <v>0</v>
      </c>
      <c r="AG159" s="19">
        <v>0</v>
      </c>
      <c r="AH159" s="19" t="s">
        <v>870</v>
      </c>
      <c r="AI159" s="19"/>
      <c r="AJ159" s="19"/>
      <c r="AK159" s="19"/>
      <c r="AL159" s="43" t="e">
        <v>#N/A</v>
      </c>
      <c r="AM159" s="19" t="e">
        <v>#N/A</v>
      </c>
      <c r="AN159" s="19" t="e">
        <v>#N/A</v>
      </c>
      <c r="AO159" s="19" t="s">
        <v>1565</v>
      </c>
      <c r="AP159" s="19">
        <v>0</v>
      </c>
      <c r="AQ159" s="26">
        <f>IFERROR(PropInfo[[#This Row],[Yardi]]*1,PropInfo[[#This Row],[Yardi]])</f>
        <v>173</v>
      </c>
    </row>
    <row r="160" spans="1:43" x14ac:dyDescent="0.2">
      <c r="A160" s="43" t="s">
        <v>607</v>
      </c>
      <c r="B160" s="19" t="s">
        <v>1025</v>
      </c>
      <c r="C160" s="37">
        <v>160</v>
      </c>
      <c r="D160" s="37">
        <v>169788</v>
      </c>
      <c r="E160" s="19" t="s" vm="72">
        <v>1368</v>
      </c>
      <c r="F160" s="19" t="s">
        <v>1409</v>
      </c>
      <c r="G160" s="19" t="s">
        <v>781</v>
      </c>
      <c r="H160" s="19" t="s">
        <v>1025</v>
      </c>
      <c r="I160" s="19" t="s">
        <v>1026</v>
      </c>
      <c r="J160" s="19" t="s">
        <v>580</v>
      </c>
      <c r="K160" s="19" t="s">
        <v>6</v>
      </c>
      <c r="L160" s="19">
        <v>92708</v>
      </c>
      <c r="M160" s="19">
        <v>33.711857000000002</v>
      </c>
      <c r="N160" s="19">
        <v>-117.935883</v>
      </c>
      <c r="O160" s="19" t="s">
        <v>929</v>
      </c>
      <c r="P160" s="19" t="s">
        <v>1415</v>
      </c>
      <c r="Q160" s="19" t="s">
        <v>1017</v>
      </c>
      <c r="R160" s="19" t="s">
        <v>510</v>
      </c>
      <c r="S160" s="19" t="s">
        <v>1018</v>
      </c>
      <c r="T160" s="19" t="s">
        <v>350</v>
      </c>
      <c r="U160" s="19" t="s">
        <v>790</v>
      </c>
      <c r="V160" s="19" t="s">
        <v>782</v>
      </c>
      <c r="W160" s="20">
        <v>1</v>
      </c>
      <c r="X160" s="39">
        <v>1969</v>
      </c>
      <c r="Y160" s="39">
        <v>2001</v>
      </c>
      <c r="Z160" s="25">
        <v>37196</v>
      </c>
      <c r="AA160" s="19">
        <v>2002</v>
      </c>
      <c r="AB160" s="25">
        <v>37256</v>
      </c>
      <c r="AC160" s="19" t="s">
        <v>783</v>
      </c>
      <c r="AD160" s="19" t="s">
        <v>784</v>
      </c>
      <c r="AE160" s="21">
        <v>0</v>
      </c>
      <c r="AF160" s="19">
        <v>2</v>
      </c>
      <c r="AG160" s="19">
        <v>24</v>
      </c>
      <c r="AH160" s="19" t="s">
        <v>870</v>
      </c>
      <c r="AI160" s="19"/>
      <c r="AJ160" s="19"/>
      <c r="AK160" s="19"/>
      <c r="AL160" s="43" t="s">
        <v>607</v>
      </c>
      <c r="AM160" s="19">
        <v>15</v>
      </c>
      <c r="AN160" s="19" t="s">
        <v>1403</v>
      </c>
      <c r="AO160" s="19" t="s">
        <v>1584</v>
      </c>
      <c r="AP160" s="19">
        <v>13200</v>
      </c>
      <c r="AQ160" s="26">
        <f>IFERROR(PropInfo[[#This Row],[Yardi]]*1,PropInfo[[#This Row],[Yardi]])</f>
        <v>242</v>
      </c>
    </row>
    <row r="161" spans="1:43" x14ac:dyDescent="0.2">
      <c r="A161" s="43" t="s">
        <v>667</v>
      </c>
      <c r="B161" s="19" t="s">
        <v>1013</v>
      </c>
      <c r="C161" s="19">
        <v>145</v>
      </c>
      <c r="D161" s="37">
        <v>136532</v>
      </c>
      <c r="E161" s="19" t="s" vm="66">
        <v>1368</v>
      </c>
      <c r="F161" s="19" t="s">
        <v>1409</v>
      </c>
      <c r="G161" s="19" t="s">
        <v>781</v>
      </c>
      <c r="H161" s="19" t="s">
        <v>1013</v>
      </c>
      <c r="I161" s="19" t="s">
        <v>1014</v>
      </c>
      <c r="J161" s="19" t="s">
        <v>375</v>
      </c>
      <c r="K161" s="19" t="s">
        <v>6</v>
      </c>
      <c r="L161" s="19">
        <v>93004</v>
      </c>
      <c r="M161" s="19">
        <v>34.278934</v>
      </c>
      <c r="N161" s="19">
        <v>-119.17115</v>
      </c>
      <c r="O161" s="19" t="s">
        <v>929</v>
      </c>
      <c r="P161" s="19" t="s">
        <v>1413</v>
      </c>
      <c r="Q161" s="19" t="s">
        <v>995</v>
      </c>
      <c r="R161" s="19" t="s">
        <v>375</v>
      </c>
      <c r="S161" s="19" t="s">
        <v>375</v>
      </c>
      <c r="T161" s="19" t="s">
        <v>375</v>
      </c>
      <c r="U161" s="19" t="s">
        <v>790</v>
      </c>
      <c r="V161" s="19" t="s">
        <v>782</v>
      </c>
      <c r="W161" s="20">
        <v>1</v>
      </c>
      <c r="X161" s="39">
        <v>1987</v>
      </c>
      <c r="Y161" s="39">
        <v>2004</v>
      </c>
      <c r="Z161" s="25">
        <v>38336</v>
      </c>
      <c r="AA161" s="19">
        <v>2005</v>
      </c>
      <c r="AB161" s="25">
        <v>38383</v>
      </c>
      <c r="AC161" s="19" t="s">
        <v>783</v>
      </c>
      <c r="AD161" s="19" t="s">
        <v>784</v>
      </c>
      <c r="AE161" s="21">
        <v>0</v>
      </c>
      <c r="AF161" s="19">
        <v>2</v>
      </c>
      <c r="AG161" s="19">
        <v>30</v>
      </c>
      <c r="AH161" s="19" t="s">
        <v>870</v>
      </c>
      <c r="AI161" s="19"/>
      <c r="AJ161" s="19"/>
      <c r="AK161" s="19"/>
      <c r="AL161" s="43" t="s">
        <v>667</v>
      </c>
      <c r="AM161" s="19">
        <v>11</v>
      </c>
      <c r="AN161" s="19" t="s">
        <v>1403</v>
      </c>
      <c r="AO161" s="19" t="s">
        <v>1532</v>
      </c>
      <c r="AP161" s="19">
        <v>17945</v>
      </c>
      <c r="AQ161" s="26">
        <f>IFERROR(PropInfo[[#This Row],[Yardi]]*1,PropInfo[[#This Row],[Yardi]])</f>
        <v>244</v>
      </c>
    </row>
    <row r="162" spans="1:43" hidden="1" x14ac:dyDescent="0.2">
      <c r="A162" s="43" t="s">
        <v>332</v>
      </c>
      <c r="B162" s="19" t="s">
        <v>1199</v>
      </c>
      <c r="C162" s="37">
        <v>1</v>
      </c>
      <c r="D162" s="37">
        <v>775</v>
      </c>
      <c r="E162" s="19" t="s">
        <v>762</v>
      </c>
      <c r="F162" s="19" t="s">
        <v>1409</v>
      </c>
      <c r="G162" s="19" t="s">
        <v>835</v>
      </c>
      <c r="H162" s="19" t="s">
        <v>1109</v>
      </c>
      <c r="I162" s="19" t="s">
        <v>1110</v>
      </c>
      <c r="J162" s="19" t="s">
        <v>333</v>
      </c>
      <c r="K162" s="19" t="s">
        <v>27</v>
      </c>
      <c r="L162" s="19">
        <v>98029</v>
      </c>
      <c r="M162" s="19">
        <v>47.544803999999999</v>
      </c>
      <c r="N162" s="19">
        <v>-122.009659</v>
      </c>
      <c r="O162" s="19" t="s">
        <v>1090</v>
      </c>
      <c r="P162" s="19" t="s">
        <v>1412</v>
      </c>
      <c r="Q162" s="19" t="s">
        <v>1091</v>
      </c>
      <c r="R162" s="19" t="s">
        <v>1092</v>
      </c>
      <c r="S162" s="19" t="s">
        <v>1093</v>
      </c>
      <c r="T162" s="19" t="s">
        <v>1100</v>
      </c>
      <c r="U162" s="19" t="s">
        <v>790</v>
      </c>
      <c r="V162" s="19" t="s">
        <v>782</v>
      </c>
      <c r="W162" s="20">
        <v>1</v>
      </c>
      <c r="X162" s="39">
        <v>2000</v>
      </c>
      <c r="Y162" s="39">
        <v>2008</v>
      </c>
      <c r="Z162" s="25">
        <v>39680</v>
      </c>
      <c r="AA162" s="19">
        <v>2009</v>
      </c>
      <c r="AB162" s="25">
        <v>39753</v>
      </c>
      <c r="AC162" s="19" t="s">
        <v>804</v>
      </c>
      <c r="AD162" s="19" t="s">
        <v>784</v>
      </c>
      <c r="AE162" s="21">
        <v>0</v>
      </c>
      <c r="AF162" s="19">
        <v>5</v>
      </c>
      <c r="AG162" s="19">
        <v>24</v>
      </c>
      <c r="AH162" s="19" t="s">
        <v>792</v>
      </c>
      <c r="AI162" s="19"/>
      <c r="AJ162" s="19"/>
      <c r="AK162" s="19"/>
      <c r="AL162" s="43" t="e">
        <v>#N/A</v>
      </c>
      <c r="AM162" s="19" t="e">
        <v>#N/A</v>
      </c>
      <c r="AN162" s="19" t="e">
        <v>#N/A</v>
      </c>
      <c r="AO162" s="19" t="s">
        <v>1565</v>
      </c>
      <c r="AP162" s="19">
        <v>0</v>
      </c>
      <c r="AQ162" s="26">
        <f>IFERROR(PropInfo[[#This Row],[Yardi]]*1,PropInfo[[#This Row],[Yardi]])</f>
        <v>19</v>
      </c>
    </row>
    <row r="163" spans="1:43" x14ac:dyDescent="0.2">
      <c r="A163" s="43" t="s">
        <v>105</v>
      </c>
      <c r="B163" s="19" t="s">
        <v>1429</v>
      </c>
      <c r="C163" s="37">
        <v>165</v>
      </c>
      <c r="D163" s="37">
        <v>184179</v>
      </c>
      <c r="E163" s="19" t="s" vm="124">
        <v>1369</v>
      </c>
      <c r="F163" s="19" t="s">
        <v>1409</v>
      </c>
      <c r="G163" s="19" t="s">
        <v>781</v>
      </c>
      <c r="H163" s="19" t="s">
        <v>1429</v>
      </c>
      <c r="I163" s="19" t="s">
        <v>911</v>
      </c>
      <c r="J163" s="19" t="s">
        <v>106</v>
      </c>
      <c r="K163" s="19" t="s">
        <v>6</v>
      </c>
      <c r="L163" s="19">
        <v>94107</v>
      </c>
      <c r="M163" s="19">
        <v>37.777785999999999</v>
      </c>
      <c r="N163" s="19">
        <v>-122.397308</v>
      </c>
      <c r="O163" s="19" t="s">
        <v>786</v>
      </c>
      <c r="P163" s="19" t="s">
        <v>1414</v>
      </c>
      <c r="Q163" s="19" t="s">
        <v>893</v>
      </c>
      <c r="R163" s="19" t="s">
        <v>106</v>
      </c>
      <c r="S163" s="19" t="s">
        <v>106</v>
      </c>
      <c r="T163" s="19" t="s">
        <v>908</v>
      </c>
      <c r="U163" s="19" t="s">
        <v>790</v>
      </c>
      <c r="V163" s="19" t="s">
        <v>782</v>
      </c>
      <c r="W163" s="20">
        <v>1</v>
      </c>
      <c r="X163" s="39">
        <v>2004</v>
      </c>
      <c r="Y163" s="39">
        <v>2012</v>
      </c>
      <c r="Z163" s="25">
        <v>41243</v>
      </c>
      <c r="AA163" s="19">
        <v>2016</v>
      </c>
      <c r="AB163" s="25">
        <v>42156</v>
      </c>
      <c r="AC163" s="19" t="s">
        <v>783</v>
      </c>
      <c r="AD163" s="19" t="s">
        <v>800</v>
      </c>
      <c r="AE163" s="21">
        <v>165</v>
      </c>
      <c r="AF163" s="19">
        <v>4</v>
      </c>
      <c r="AG163" s="19">
        <v>5</v>
      </c>
      <c r="AH163" s="19" t="s">
        <v>889</v>
      </c>
      <c r="AI163" s="19"/>
      <c r="AJ163" s="19"/>
      <c r="AK163" s="19"/>
      <c r="AL163" s="43" t="s">
        <v>105</v>
      </c>
      <c r="AM163" s="19">
        <v>0</v>
      </c>
      <c r="AN163" s="19" t="s">
        <v>1406</v>
      </c>
      <c r="AO163" s="19" t="s">
        <v>1533</v>
      </c>
      <c r="AP163" s="19">
        <v>49313</v>
      </c>
      <c r="AQ163" s="26">
        <f>IFERROR(PropInfo[[#This Row],[Yardi]]*1,PropInfo[[#This Row],[Yardi]])</f>
        <v>245</v>
      </c>
    </row>
    <row r="164" spans="1:43" x14ac:dyDescent="0.2">
      <c r="A164" s="43" t="s">
        <v>48</v>
      </c>
      <c r="B164" s="19" t="s">
        <v>49</v>
      </c>
      <c r="C164" s="37">
        <v>56</v>
      </c>
      <c r="D164" s="37">
        <v>48216</v>
      </c>
      <c r="E164" s="19" t="s" vm="208">
        <v>1368</v>
      </c>
      <c r="F164" s="19" t="s">
        <v>1409</v>
      </c>
      <c r="G164" s="19" t="s">
        <v>781</v>
      </c>
      <c r="H164" s="19" t="s">
        <v>49</v>
      </c>
      <c r="I164" s="19" t="s">
        <v>1139</v>
      </c>
      <c r="J164" s="19" t="s">
        <v>26</v>
      </c>
      <c r="K164" s="19" t="s">
        <v>27</v>
      </c>
      <c r="L164" s="19">
        <v>98109</v>
      </c>
      <c r="M164" s="19">
        <v>47.618850999999999</v>
      </c>
      <c r="N164" s="19">
        <v>-122.344955</v>
      </c>
      <c r="O164" s="19" t="s">
        <v>1090</v>
      </c>
      <c r="P164" s="19" t="s">
        <v>1412</v>
      </c>
      <c r="Q164" s="19" t="s">
        <v>1091</v>
      </c>
      <c r="R164" s="19" t="s">
        <v>1092</v>
      </c>
      <c r="S164" s="19" t="s">
        <v>1134</v>
      </c>
      <c r="T164" s="19" t="s">
        <v>1138</v>
      </c>
      <c r="U164" s="19" t="s">
        <v>790</v>
      </c>
      <c r="V164" s="19" t="s">
        <v>782</v>
      </c>
      <c r="W164" s="20">
        <v>1</v>
      </c>
      <c r="X164" s="39">
        <v>2009</v>
      </c>
      <c r="Y164" s="39">
        <v>2013</v>
      </c>
      <c r="Z164" s="25">
        <v>41278</v>
      </c>
      <c r="AA164" s="19">
        <v>2014</v>
      </c>
      <c r="AB164" s="25">
        <v>41456</v>
      </c>
      <c r="AC164" s="19" t="s">
        <v>783</v>
      </c>
      <c r="AD164" s="19" t="s">
        <v>917</v>
      </c>
      <c r="AE164" s="21">
        <v>0</v>
      </c>
      <c r="AF164" s="19">
        <v>8</v>
      </c>
      <c r="AG164" s="19">
        <v>1</v>
      </c>
      <c r="AH164" s="19" t="s">
        <v>809</v>
      </c>
      <c r="AI164" s="19"/>
      <c r="AJ164" s="19"/>
      <c r="AK164" s="19"/>
      <c r="AL164" s="43" t="s">
        <v>48</v>
      </c>
      <c r="AM164" s="19">
        <v>32</v>
      </c>
      <c r="AN164" s="19" t="s">
        <v>1403</v>
      </c>
      <c r="AO164" s="19" t="s">
        <v>1365</v>
      </c>
      <c r="AP164" s="19">
        <v>49175</v>
      </c>
      <c r="AQ164" s="26">
        <f>IFERROR(PropInfo[[#This Row],[Yardi]]*1,PropInfo[[#This Row],[Yardi]])</f>
        <v>246</v>
      </c>
    </row>
    <row r="165" spans="1:43" x14ac:dyDescent="0.2">
      <c r="A165" s="43" t="s">
        <v>312</v>
      </c>
      <c r="B165" s="19" t="s">
        <v>912</v>
      </c>
      <c r="C165" s="37">
        <v>445</v>
      </c>
      <c r="D165" s="37">
        <v>230057</v>
      </c>
      <c r="E165" s="19" t="s" vm="73">
        <v>1368</v>
      </c>
      <c r="F165" s="19" t="s">
        <v>1409</v>
      </c>
      <c r="G165" s="19" t="s">
        <v>781</v>
      </c>
      <c r="H165" s="19" t="s">
        <v>912</v>
      </c>
      <c r="I165" s="19" t="s">
        <v>913</v>
      </c>
      <c r="J165" s="19" t="s">
        <v>106</v>
      </c>
      <c r="K165" s="19" t="s">
        <v>6</v>
      </c>
      <c r="L165" s="19">
        <v>94102</v>
      </c>
      <c r="M165" s="19">
        <v>37.777209999999997</v>
      </c>
      <c r="N165" s="19">
        <v>-122.41735799999999</v>
      </c>
      <c r="O165" s="19" t="s">
        <v>786</v>
      </c>
      <c r="P165" s="19" t="s">
        <v>1414</v>
      </c>
      <c r="Q165" s="19" t="s">
        <v>893</v>
      </c>
      <c r="R165" s="19" t="s">
        <v>106</v>
      </c>
      <c r="S165" s="19" t="s">
        <v>106</v>
      </c>
      <c r="T165" s="19" t="s">
        <v>914</v>
      </c>
      <c r="U165" s="19" t="s">
        <v>790</v>
      </c>
      <c r="V165" s="19" t="s">
        <v>782</v>
      </c>
      <c r="W165" s="20">
        <v>1</v>
      </c>
      <c r="X165" s="39">
        <v>1968</v>
      </c>
      <c r="Y165" s="39">
        <v>2013</v>
      </c>
      <c r="Z165" s="25">
        <v>41325</v>
      </c>
      <c r="AA165" s="19">
        <v>2015</v>
      </c>
      <c r="AB165" s="25">
        <v>41699</v>
      </c>
      <c r="AC165" s="19" t="s">
        <v>804</v>
      </c>
      <c r="AD165" s="19" t="s">
        <v>808</v>
      </c>
      <c r="AE165" s="27">
        <v>0</v>
      </c>
      <c r="AF165" s="19">
        <v>29</v>
      </c>
      <c r="AG165" s="19">
        <v>1</v>
      </c>
      <c r="AH165" s="19" t="s">
        <v>792</v>
      </c>
      <c r="AI165" s="19" t="s">
        <v>1384</v>
      </c>
      <c r="AJ165" s="19">
        <v>444</v>
      </c>
      <c r="AK165" s="19" t="s">
        <v>1379</v>
      </c>
      <c r="AL165" s="43" t="s">
        <v>312</v>
      </c>
      <c r="AM165" s="19">
        <v>0</v>
      </c>
      <c r="AN165" s="19" t="s">
        <v>1406</v>
      </c>
      <c r="AO165" s="19" t="s">
        <v>1533</v>
      </c>
      <c r="AP165" s="19">
        <v>20679</v>
      </c>
      <c r="AQ165" s="26">
        <f>IFERROR(PropInfo[[#This Row],[Yardi]]*1,PropInfo[[#This Row],[Yardi]])</f>
        <v>247</v>
      </c>
    </row>
    <row r="166" spans="1:43" x14ac:dyDescent="0.2">
      <c r="A166" s="46" t="s">
        <v>1559</v>
      </c>
      <c r="B166" s="30" t="s">
        <v>1552</v>
      </c>
      <c r="C166" s="30">
        <v>195</v>
      </c>
      <c r="D166" s="38"/>
      <c r="E166" s="31" t="s">
        <v>1577</v>
      </c>
      <c r="F166" s="31" t="s">
        <v>1409</v>
      </c>
      <c r="G166" s="30" t="s">
        <v>781</v>
      </c>
      <c r="H166" s="19" t="s">
        <v>1552</v>
      </c>
      <c r="I166" s="32" t="s">
        <v>1553</v>
      </c>
      <c r="J166" s="32" t="s">
        <v>1554</v>
      </c>
      <c r="K166" s="32" t="s">
        <v>6</v>
      </c>
      <c r="L166" s="32">
        <v>94025</v>
      </c>
      <c r="M166" s="19">
        <v>37.47963</v>
      </c>
      <c r="N166" s="19">
        <v>-122.1529</v>
      </c>
      <c r="O166" s="30" t="s">
        <v>786</v>
      </c>
      <c r="P166" s="31" t="s">
        <v>1414</v>
      </c>
      <c r="Q166" s="19" t="s">
        <v>893</v>
      </c>
      <c r="R166" s="30" t="s">
        <v>345</v>
      </c>
      <c r="S166" s="30" t="s">
        <v>345</v>
      </c>
      <c r="T166" s="30" t="s">
        <v>894</v>
      </c>
      <c r="U166" s="30" t="s">
        <v>790</v>
      </c>
      <c r="V166" s="30" t="s">
        <v>906</v>
      </c>
      <c r="W166" s="33">
        <v>0.5</v>
      </c>
      <c r="X166" s="39">
        <v>2017</v>
      </c>
      <c r="Y166" s="31">
        <v>2019</v>
      </c>
      <c r="Z166" s="34">
        <v>43707</v>
      </c>
      <c r="AA166" s="31">
        <v>2020</v>
      </c>
      <c r="AB166" s="34"/>
      <c r="AC166" s="30" t="s">
        <v>783</v>
      </c>
      <c r="AD166" s="30" t="s">
        <v>784</v>
      </c>
      <c r="AE166" s="35"/>
      <c r="AF166" s="30"/>
      <c r="AG166" s="30"/>
      <c r="AH166" s="30"/>
      <c r="AI166" s="30"/>
      <c r="AJ166" s="30"/>
      <c r="AK166" s="30"/>
      <c r="AL166" s="44" t="s">
        <v>1559</v>
      </c>
      <c r="AM166" s="31"/>
      <c r="AN166" s="31"/>
      <c r="AO166" s="19" t="s">
        <v>1531</v>
      </c>
      <c r="AP166" s="31"/>
      <c r="AQ166" s="26">
        <f>IFERROR(PropInfo[[#This Row],[Yardi]]*1,PropInfo[[#This Row],[Yardi]])</f>
        <v>260</v>
      </c>
    </row>
    <row r="167" spans="1:43" x14ac:dyDescent="0.2">
      <c r="A167" s="43" t="s">
        <v>150</v>
      </c>
      <c r="B167" s="19" t="s">
        <v>1447</v>
      </c>
      <c r="C167" s="37">
        <v>159</v>
      </c>
      <c r="D167" s="37">
        <v>104860</v>
      </c>
      <c r="E167" s="19" t="s" vm="67">
        <v>1368</v>
      </c>
      <c r="F167" s="19" t="s">
        <v>1409</v>
      </c>
      <c r="G167" s="19" t="s">
        <v>781</v>
      </c>
      <c r="H167" s="19" t="s">
        <v>1447</v>
      </c>
      <c r="I167" s="19" t="s">
        <v>151</v>
      </c>
      <c r="J167" s="19" t="s">
        <v>146</v>
      </c>
      <c r="K167" s="19" t="s">
        <v>6</v>
      </c>
      <c r="L167" s="19">
        <v>93012</v>
      </c>
      <c r="M167" s="19">
        <v>34.215988000000003</v>
      </c>
      <c r="N167" s="19">
        <v>-119.00262499999999</v>
      </c>
      <c r="O167" s="19" t="s">
        <v>929</v>
      </c>
      <c r="P167" s="19" t="s">
        <v>1413</v>
      </c>
      <c r="Q167" s="19" t="s">
        <v>995</v>
      </c>
      <c r="R167" s="19" t="s">
        <v>375</v>
      </c>
      <c r="S167" s="19" t="s">
        <v>375</v>
      </c>
      <c r="T167" s="19" t="s">
        <v>146</v>
      </c>
      <c r="U167" s="19" t="s">
        <v>790</v>
      </c>
      <c r="V167" s="19" t="s">
        <v>782</v>
      </c>
      <c r="W167" s="20">
        <v>1</v>
      </c>
      <c r="X167" s="39">
        <v>1990</v>
      </c>
      <c r="Y167" s="39">
        <v>2006</v>
      </c>
      <c r="Z167" s="25">
        <v>39080</v>
      </c>
      <c r="AA167" s="19">
        <v>2007</v>
      </c>
      <c r="AB167" s="25">
        <v>39113</v>
      </c>
      <c r="AC167" s="19" t="s">
        <v>783</v>
      </c>
      <c r="AD167" s="19" t="s">
        <v>784</v>
      </c>
      <c r="AE167" s="21">
        <v>0</v>
      </c>
      <c r="AF167" s="19">
        <v>2</v>
      </c>
      <c r="AG167" s="19">
        <v>15</v>
      </c>
      <c r="AH167" s="19" t="s">
        <v>785</v>
      </c>
      <c r="AI167" s="19"/>
      <c r="AJ167" s="19"/>
      <c r="AK167" s="19"/>
      <c r="AL167" s="43" t="s">
        <v>150</v>
      </c>
      <c r="AM167" s="19">
        <v>0</v>
      </c>
      <c r="AN167" s="19" t="s">
        <v>1406</v>
      </c>
      <c r="AO167" s="19" t="s">
        <v>1532</v>
      </c>
      <c r="AP167" s="19">
        <v>20875</v>
      </c>
      <c r="AQ167" s="26">
        <f>IFERROR(PropInfo[[#This Row],[Yardi]]*1,PropInfo[[#This Row],[Yardi]])</f>
        <v>292</v>
      </c>
    </row>
    <row r="168" spans="1:43" x14ac:dyDescent="0.2">
      <c r="A168" s="43" t="s">
        <v>238</v>
      </c>
      <c r="B168" s="19" t="s">
        <v>239</v>
      </c>
      <c r="C168" s="37">
        <v>92</v>
      </c>
      <c r="D168" s="37">
        <v>79447</v>
      </c>
      <c r="E168" s="19" t="s" vm="128">
        <v>1368</v>
      </c>
      <c r="F168" s="19" t="s">
        <v>1409</v>
      </c>
      <c r="G168" s="19" t="s">
        <v>781</v>
      </c>
      <c r="H168" s="19" t="s">
        <v>239</v>
      </c>
      <c r="I168" s="19" t="s">
        <v>240</v>
      </c>
      <c r="J168" s="19" t="s">
        <v>26</v>
      </c>
      <c r="K168" s="19" t="s">
        <v>27</v>
      </c>
      <c r="L168" s="19">
        <v>98109</v>
      </c>
      <c r="M168" s="19">
        <v>47.642048000000003</v>
      </c>
      <c r="N168" s="19">
        <v>-122.346558</v>
      </c>
      <c r="O168" s="19" t="s">
        <v>1090</v>
      </c>
      <c r="P168" s="19" t="s">
        <v>1412</v>
      </c>
      <c r="Q168" s="19" t="s">
        <v>1091</v>
      </c>
      <c r="R168" s="19" t="s">
        <v>1092</v>
      </c>
      <c r="S168" s="19" t="s">
        <v>1134</v>
      </c>
      <c r="T168" s="19" t="s">
        <v>1138</v>
      </c>
      <c r="U168" s="19" t="s">
        <v>790</v>
      </c>
      <c r="V168" s="19" t="s">
        <v>782</v>
      </c>
      <c r="W168" s="20">
        <v>1</v>
      </c>
      <c r="X168" s="39">
        <v>2009</v>
      </c>
      <c r="Y168" s="39">
        <v>2012</v>
      </c>
      <c r="Z168" s="25">
        <v>41178</v>
      </c>
      <c r="AA168" s="19">
        <v>2014</v>
      </c>
      <c r="AB168" s="25">
        <v>41365</v>
      </c>
      <c r="AC168" s="19" t="s">
        <v>783</v>
      </c>
      <c r="AD168" s="19" t="s">
        <v>800</v>
      </c>
      <c r="AE168" s="21" t="s">
        <v>1494</v>
      </c>
      <c r="AF168" s="19">
        <v>6</v>
      </c>
      <c r="AG168" s="19">
        <v>5</v>
      </c>
      <c r="AH168" s="19" t="s">
        <v>809</v>
      </c>
      <c r="AI168" s="19"/>
      <c r="AJ168" s="19"/>
      <c r="AK168" s="19"/>
      <c r="AL168" s="43" t="s">
        <v>238</v>
      </c>
      <c r="AM168" s="19">
        <v>0</v>
      </c>
      <c r="AN168" s="19" t="s">
        <v>1406</v>
      </c>
      <c r="AO168" s="19" t="s">
        <v>1365</v>
      </c>
      <c r="AP168" s="19">
        <v>20935</v>
      </c>
      <c r="AQ168" s="26">
        <f>IFERROR(PropInfo[[#This Row],[Yardi]]*1,PropInfo[[#This Row],[Yardi]])</f>
        <v>299</v>
      </c>
    </row>
    <row r="169" spans="1:43" x14ac:dyDescent="0.2">
      <c r="A169" s="43" t="s">
        <v>153</v>
      </c>
      <c r="B169" s="19" t="s">
        <v>1420</v>
      </c>
      <c r="C169" s="37">
        <v>250</v>
      </c>
      <c r="D169" s="37">
        <v>237894</v>
      </c>
      <c r="E169" s="19" t="s" vm="209">
        <v>1368</v>
      </c>
      <c r="F169" s="19" t="s">
        <v>1409</v>
      </c>
      <c r="G169" s="19" t="s">
        <v>781</v>
      </c>
      <c r="H169" s="19" t="s">
        <v>1420</v>
      </c>
      <c r="I169" s="19" t="s">
        <v>885</v>
      </c>
      <c r="J169" s="19" t="s">
        <v>87</v>
      </c>
      <c r="K169" s="19" t="s">
        <v>6</v>
      </c>
      <c r="L169" s="19">
        <v>94582</v>
      </c>
      <c r="M169" s="19">
        <v>37.764823999999997</v>
      </c>
      <c r="N169" s="19">
        <v>-121.905731</v>
      </c>
      <c r="O169" s="19" t="s">
        <v>786</v>
      </c>
      <c r="P169" s="19" t="s">
        <v>1414</v>
      </c>
      <c r="Q169" s="19" t="s">
        <v>853</v>
      </c>
      <c r="R169" s="19" t="s">
        <v>881</v>
      </c>
      <c r="S169" s="19" t="s">
        <v>87</v>
      </c>
      <c r="T169" s="19" t="s">
        <v>858</v>
      </c>
      <c r="U169" s="19" t="s">
        <v>790</v>
      </c>
      <c r="V169" s="19" t="s">
        <v>782</v>
      </c>
      <c r="W169" s="20">
        <v>1</v>
      </c>
      <c r="X169" s="39">
        <v>2005</v>
      </c>
      <c r="Y169" s="39">
        <v>2007</v>
      </c>
      <c r="Z169" s="25">
        <v>39206</v>
      </c>
      <c r="AA169" s="19">
        <v>2008</v>
      </c>
      <c r="AB169" s="25">
        <v>39356</v>
      </c>
      <c r="AC169" s="19" t="s">
        <v>783</v>
      </c>
      <c r="AD169" s="19" t="s">
        <v>784</v>
      </c>
      <c r="AE169" s="21">
        <v>0</v>
      </c>
      <c r="AF169" s="19">
        <v>3</v>
      </c>
      <c r="AG169" s="19">
        <v>13</v>
      </c>
      <c r="AH169" s="19" t="s">
        <v>785</v>
      </c>
      <c r="AI169" s="19" t="s">
        <v>1391</v>
      </c>
      <c r="AJ169" s="19">
        <v>250</v>
      </c>
      <c r="AK169" s="19">
        <v>2025</v>
      </c>
      <c r="AL169" s="43" t="s">
        <v>153</v>
      </c>
      <c r="AM169" s="19">
        <v>18</v>
      </c>
      <c r="AN169" s="19" t="s">
        <v>1403</v>
      </c>
      <c r="AO169" s="19" t="s">
        <v>1362</v>
      </c>
      <c r="AP169" s="19">
        <v>17394</v>
      </c>
      <c r="AQ169" s="26">
        <f>IFERROR(PropInfo[[#This Row],[Yardi]]*1,PropInfo[[#This Row],[Yardi]])</f>
        <v>302</v>
      </c>
    </row>
    <row r="170" spans="1:43" x14ac:dyDescent="0.2">
      <c r="A170" s="43" t="s">
        <v>346</v>
      </c>
      <c r="B170" s="19" t="s">
        <v>347</v>
      </c>
      <c r="C170" s="37">
        <v>108</v>
      </c>
      <c r="D170" s="37">
        <v>61050</v>
      </c>
      <c r="E170" s="19" t="s">
        <v>1369</v>
      </c>
      <c r="F170" s="19" t="s">
        <v>1409</v>
      </c>
      <c r="G170" s="19" t="s">
        <v>781</v>
      </c>
      <c r="H170" s="19" t="s">
        <v>347</v>
      </c>
      <c r="I170" s="19" t="s">
        <v>1080</v>
      </c>
      <c r="J170" s="19" t="s">
        <v>348</v>
      </c>
      <c r="K170" s="19" t="s">
        <v>6</v>
      </c>
      <c r="L170" s="19">
        <v>93110</v>
      </c>
      <c r="M170" s="19">
        <v>34.441349000000002</v>
      </c>
      <c r="N170" s="19">
        <v>-119.75490600000001</v>
      </c>
      <c r="O170" s="19" t="s">
        <v>929</v>
      </c>
      <c r="P170" s="19" t="s">
        <v>1413</v>
      </c>
      <c r="Q170" s="19" t="s">
        <v>1078</v>
      </c>
      <c r="R170" s="19" t="s">
        <v>348</v>
      </c>
      <c r="S170" s="19" t="s">
        <v>348</v>
      </c>
      <c r="T170" s="19" t="s">
        <v>1079</v>
      </c>
      <c r="U170" s="19" t="s">
        <v>790</v>
      </c>
      <c r="V170" s="19" t="s">
        <v>782</v>
      </c>
      <c r="W170" s="20">
        <v>1</v>
      </c>
      <c r="X170" s="39">
        <v>1965</v>
      </c>
      <c r="Y170" s="39">
        <v>2007</v>
      </c>
      <c r="Z170" s="25">
        <v>39232</v>
      </c>
      <c r="AA170" s="19">
        <v>2012</v>
      </c>
      <c r="AB170" s="25">
        <v>40756</v>
      </c>
      <c r="AC170" s="19" t="s">
        <v>783</v>
      </c>
      <c r="AD170" s="19" t="s">
        <v>784</v>
      </c>
      <c r="AE170" s="21">
        <v>0</v>
      </c>
      <c r="AF170" s="19">
        <v>2</v>
      </c>
      <c r="AG170" s="19">
        <v>5</v>
      </c>
      <c r="AH170" s="19" t="s">
        <v>870</v>
      </c>
      <c r="AI170" s="19"/>
      <c r="AJ170" s="19"/>
      <c r="AK170" s="19"/>
      <c r="AL170" s="43" t="s">
        <v>346</v>
      </c>
      <c r="AM170" s="19">
        <v>39</v>
      </c>
      <c r="AN170" s="19" t="s">
        <v>1403</v>
      </c>
      <c r="AO170" s="19" t="s">
        <v>1355</v>
      </c>
      <c r="AP170" s="19">
        <v>34559</v>
      </c>
      <c r="AQ170" s="26">
        <f>IFERROR(PropInfo[[#This Row],[Yardi]]*1,PropInfo[[#This Row],[Yardi]])</f>
        <v>303</v>
      </c>
    </row>
    <row r="171" spans="1:43" hidden="1" x14ac:dyDescent="0.2">
      <c r="A171" s="43" t="s">
        <v>711</v>
      </c>
      <c r="B171" s="19" t="s">
        <v>1176</v>
      </c>
      <c r="C171" s="37">
        <v>4</v>
      </c>
      <c r="D171" s="37">
        <v>17441</v>
      </c>
      <c r="E171" s="19" t="s">
        <v>762</v>
      </c>
      <c r="F171" s="19" t="s">
        <v>1409</v>
      </c>
      <c r="G171" s="19" t="s">
        <v>835</v>
      </c>
      <c r="H171" s="19" t="s">
        <v>971</v>
      </c>
      <c r="I171" s="19" t="s">
        <v>972</v>
      </c>
      <c r="J171" s="19" t="s">
        <v>570</v>
      </c>
      <c r="K171" s="19" t="s">
        <v>6</v>
      </c>
      <c r="L171" s="19">
        <v>90038</v>
      </c>
      <c r="M171" s="19">
        <v>34.093249999999998</v>
      </c>
      <c r="N171" s="19">
        <v>-118.34348</v>
      </c>
      <c r="O171" s="19" t="s">
        <v>929</v>
      </c>
      <c r="P171" s="19" t="s">
        <v>1413</v>
      </c>
      <c r="Q171" s="19" t="s">
        <v>930</v>
      </c>
      <c r="R171" s="19" t="s">
        <v>21</v>
      </c>
      <c r="S171" s="19" t="s">
        <v>956</v>
      </c>
      <c r="T171" s="19" t="s">
        <v>354</v>
      </c>
      <c r="U171" s="19" t="s">
        <v>779</v>
      </c>
      <c r="V171" s="19" t="s">
        <v>782</v>
      </c>
      <c r="W171" s="20">
        <v>1</v>
      </c>
      <c r="X171" s="39">
        <v>2014</v>
      </c>
      <c r="Y171" s="39">
        <v>2011</v>
      </c>
      <c r="Z171" s="25">
        <v>40813</v>
      </c>
      <c r="AA171" s="19">
        <v>2017</v>
      </c>
      <c r="AB171" s="25">
        <v>42522</v>
      </c>
      <c r="AC171" s="19" t="s">
        <v>804</v>
      </c>
      <c r="AD171" s="19" t="s">
        <v>800</v>
      </c>
      <c r="AE171" s="21">
        <v>0</v>
      </c>
      <c r="AF171" s="19">
        <v>6</v>
      </c>
      <c r="AG171" s="19">
        <v>1</v>
      </c>
      <c r="AH171" s="19" t="s">
        <v>792</v>
      </c>
      <c r="AI171" s="19"/>
      <c r="AJ171" s="19"/>
      <c r="AK171" s="19"/>
      <c r="AL171" s="43" t="e">
        <v>#N/A</v>
      </c>
      <c r="AM171" s="19" t="e">
        <v>#N/A</v>
      </c>
      <c r="AN171" s="19" t="e">
        <v>#N/A</v>
      </c>
      <c r="AO171" s="19" t="s">
        <v>1565</v>
      </c>
      <c r="AP171" s="19">
        <v>0</v>
      </c>
      <c r="AQ171" s="26">
        <f>IFERROR(PropInfo[[#This Row],[Yardi]]*1,PropInfo[[#This Row],[Yardi]])</f>
        <v>379</v>
      </c>
    </row>
    <row r="172" spans="1:43" x14ac:dyDescent="0.2">
      <c r="A172" s="43" t="s">
        <v>343</v>
      </c>
      <c r="B172" s="19" t="s">
        <v>1430</v>
      </c>
      <c r="C172" s="37">
        <v>697</v>
      </c>
      <c r="D172" s="37">
        <v>612105</v>
      </c>
      <c r="E172" s="19" t="s" vm="68">
        <v>1368</v>
      </c>
      <c r="F172" s="19" t="s">
        <v>1409</v>
      </c>
      <c r="G172" s="19" t="s">
        <v>781</v>
      </c>
      <c r="H172" s="19" t="s">
        <v>1430</v>
      </c>
      <c r="I172" s="19" t="s">
        <v>344</v>
      </c>
      <c r="J172" s="19" t="s">
        <v>345</v>
      </c>
      <c r="K172" s="19" t="s">
        <v>6</v>
      </c>
      <c r="L172" s="19">
        <v>94403</v>
      </c>
      <c r="M172" s="19">
        <v>37.534289999999999</v>
      </c>
      <c r="N172" s="19">
        <v>-122.299347</v>
      </c>
      <c r="O172" s="19" t="s">
        <v>786</v>
      </c>
      <c r="P172" s="19" t="s">
        <v>1414</v>
      </c>
      <c r="Q172" s="19" t="s">
        <v>893</v>
      </c>
      <c r="R172" s="19" t="s">
        <v>345</v>
      </c>
      <c r="S172" s="19" t="s">
        <v>345</v>
      </c>
      <c r="T172" s="19" t="s">
        <v>895</v>
      </c>
      <c r="U172" s="19" t="s">
        <v>790</v>
      </c>
      <c r="V172" s="19" t="s">
        <v>802</v>
      </c>
      <c r="W172" s="20">
        <v>0.81499999999999995</v>
      </c>
      <c r="X172" s="39">
        <v>1948</v>
      </c>
      <c r="Y172" s="39">
        <v>2007</v>
      </c>
      <c r="Z172" s="25">
        <v>38973</v>
      </c>
      <c r="AA172" s="19">
        <v>2007</v>
      </c>
      <c r="AB172" s="25">
        <v>39021</v>
      </c>
      <c r="AC172" s="19" t="s">
        <v>783</v>
      </c>
      <c r="AD172" s="19" t="s">
        <v>784</v>
      </c>
      <c r="AE172" s="21">
        <v>0</v>
      </c>
      <c r="AF172" s="19">
        <v>3</v>
      </c>
      <c r="AG172" s="19">
        <v>52</v>
      </c>
      <c r="AH172" s="19" t="s">
        <v>792</v>
      </c>
      <c r="AI172" s="19"/>
      <c r="AJ172" s="19"/>
      <c r="AK172" s="19"/>
      <c r="AL172" s="43" t="s">
        <v>343</v>
      </c>
      <c r="AM172" s="19">
        <v>23</v>
      </c>
      <c r="AN172" s="19" t="s">
        <v>1403</v>
      </c>
      <c r="AO172" s="19" t="s">
        <v>1366</v>
      </c>
      <c r="AP172" s="19">
        <v>34180</v>
      </c>
      <c r="AQ172" s="26">
        <f>IFERROR(PropInfo[[#This Row],[Yardi]]*1,PropInfo[[#This Row],[Yardi]])</f>
        <v>313</v>
      </c>
    </row>
    <row r="173" spans="1:43" x14ac:dyDescent="0.2">
      <c r="A173" s="43" t="s">
        <v>561</v>
      </c>
      <c r="B173" s="19" t="s">
        <v>1140</v>
      </c>
      <c r="C173" s="37">
        <v>99</v>
      </c>
      <c r="D173" s="37">
        <v>70093</v>
      </c>
      <c r="E173" s="19" t="s" vm="131">
        <v>1368</v>
      </c>
      <c r="F173" s="19" t="s">
        <v>1409</v>
      </c>
      <c r="G173" s="19" t="s">
        <v>781</v>
      </c>
      <c r="H173" s="19" t="s">
        <v>1140</v>
      </c>
      <c r="I173" s="19" t="s">
        <v>563</v>
      </c>
      <c r="J173" s="19" t="s">
        <v>26</v>
      </c>
      <c r="K173" s="19" t="s">
        <v>27</v>
      </c>
      <c r="L173" s="19">
        <v>98109</v>
      </c>
      <c r="M173" s="19">
        <v>47.622463000000003</v>
      </c>
      <c r="N173" s="19">
        <v>-122.33007000000001</v>
      </c>
      <c r="O173" s="19" t="s">
        <v>1090</v>
      </c>
      <c r="P173" s="19" t="s">
        <v>1412</v>
      </c>
      <c r="Q173" s="19" t="s">
        <v>1091</v>
      </c>
      <c r="R173" s="19" t="s">
        <v>1092</v>
      </c>
      <c r="S173" s="19" t="s">
        <v>1134</v>
      </c>
      <c r="T173" s="19" t="s">
        <v>1138</v>
      </c>
      <c r="U173" s="19" t="s">
        <v>790</v>
      </c>
      <c r="V173" s="19" t="s">
        <v>782</v>
      </c>
      <c r="W173" s="20">
        <v>1</v>
      </c>
      <c r="X173" s="39">
        <v>2006</v>
      </c>
      <c r="Y173" s="39">
        <v>2007</v>
      </c>
      <c r="Z173" s="25">
        <v>39261</v>
      </c>
      <c r="AA173" s="19">
        <v>2008</v>
      </c>
      <c r="AB173" s="25">
        <v>39264</v>
      </c>
      <c r="AC173" s="19" t="s">
        <v>804</v>
      </c>
      <c r="AD173" s="19" t="s">
        <v>800</v>
      </c>
      <c r="AE173" s="21" t="s">
        <v>1494</v>
      </c>
      <c r="AF173" s="19">
        <v>7</v>
      </c>
      <c r="AG173" s="19">
        <v>1</v>
      </c>
      <c r="AH173" s="19" t="s">
        <v>792</v>
      </c>
      <c r="AI173" s="19"/>
      <c r="AJ173" s="19"/>
      <c r="AK173" s="19"/>
      <c r="AL173" s="43" t="s">
        <v>561</v>
      </c>
      <c r="AM173" s="19">
        <v>0</v>
      </c>
      <c r="AN173" s="19" t="s">
        <v>1406</v>
      </c>
      <c r="AO173" s="19" t="s">
        <v>1365</v>
      </c>
      <c r="AP173" s="19">
        <v>25315</v>
      </c>
      <c r="AQ173" s="26">
        <f>IFERROR(PropInfo[[#This Row],[Yardi]]*1,PropInfo[[#This Row],[Yardi]])</f>
        <v>329</v>
      </c>
    </row>
    <row r="174" spans="1:43" x14ac:dyDescent="0.2">
      <c r="A174" s="43" t="s">
        <v>396</v>
      </c>
      <c r="B174" s="19" t="s">
        <v>1431</v>
      </c>
      <c r="C174" s="37">
        <v>400</v>
      </c>
      <c r="D174" s="37">
        <v>381060</v>
      </c>
      <c r="E174" s="19" t="s" vm="211">
        <v>1368</v>
      </c>
      <c r="F174" s="19" t="s">
        <v>1409</v>
      </c>
      <c r="G174" s="19" t="s">
        <v>781</v>
      </c>
      <c r="H174" s="19" t="s">
        <v>1431</v>
      </c>
      <c r="I174" s="19" t="s">
        <v>887</v>
      </c>
      <c r="J174" s="19" t="s">
        <v>87</v>
      </c>
      <c r="K174" s="19" t="s">
        <v>6</v>
      </c>
      <c r="L174" s="19">
        <v>94582</v>
      </c>
      <c r="M174" s="19">
        <v>37.757168</v>
      </c>
      <c r="N174" s="19">
        <v>-121.90799</v>
      </c>
      <c r="O174" s="19" t="s">
        <v>786</v>
      </c>
      <c r="P174" s="19" t="s">
        <v>1414</v>
      </c>
      <c r="Q174" s="19" t="s">
        <v>853</v>
      </c>
      <c r="R174" s="19" t="s">
        <v>881</v>
      </c>
      <c r="S174" s="19" t="s">
        <v>87</v>
      </c>
      <c r="T174" s="19" t="s">
        <v>858</v>
      </c>
      <c r="U174" s="19" t="s">
        <v>790</v>
      </c>
      <c r="V174" s="19" t="s">
        <v>782</v>
      </c>
      <c r="W174" s="20">
        <v>1</v>
      </c>
      <c r="X174" s="39">
        <v>2005</v>
      </c>
      <c r="Y174" s="39">
        <v>2007</v>
      </c>
      <c r="Z174" s="25">
        <v>39338</v>
      </c>
      <c r="AA174" s="19">
        <v>2009</v>
      </c>
      <c r="AB174" s="25">
        <v>39479</v>
      </c>
      <c r="AC174" s="19" t="s">
        <v>783</v>
      </c>
      <c r="AD174" s="19" t="s">
        <v>784</v>
      </c>
      <c r="AE174" s="21">
        <v>0</v>
      </c>
      <c r="AF174" s="19">
        <v>3</v>
      </c>
      <c r="AG174" s="19">
        <v>20</v>
      </c>
      <c r="AH174" s="19" t="s">
        <v>785</v>
      </c>
      <c r="AI174" s="19" t="s">
        <v>1391</v>
      </c>
      <c r="AJ174" s="19">
        <v>400</v>
      </c>
      <c r="AK174" s="19">
        <v>2025</v>
      </c>
      <c r="AL174" s="43" t="s">
        <v>396</v>
      </c>
      <c r="AM174" s="19">
        <v>18</v>
      </c>
      <c r="AN174" s="19" t="s">
        <v>1403</v>
      </c>
      <c r="AO174" s="19" t="s">
        <v>1362</v>
      </c>
      <c r="AP174" s="19">
        <v>17395</v>
      </c>
      <c r="AQ174" s="26">
        <f>IFERROR(PropInfo[[#This Row],[Yardi]]*1,PropInfo[[#This Row],[Yardi]])</f>
        <v>332</v>
      </c>
    </row>
    <row r="175" spans="1:43" x14ac:dyDescent="0.2">
      <c r="A175" s="43" t="s">
        <v>378</v>
      </c>
      <c r="B175" s="19" t="s">
        <v>379</v>
      </c>
      <c r="C175" s="37">
        <v>188</v>
      </c>
      <c r="D175" s="37">
        <v>152661</v>
      </c>
      <c r="E175" s="19" t="s" vm="77">
        <v>1368</v>
      </c>
      <c r="F175" s="19" t="s">
        <v>1409</v>
      </c>
      <c r="G175" s="19" t="s">
        <v>781</v>
      </c>
      <c r="H175" s="19" t="s">
        <v>379</v>
      </c>
      <c r="I175" s="19" t="s">
        <v>847</v>
      </c>
      <c r="J175" s="19" t="s">
        <v>138</v>
      </c>
      <c r="K175" s="19" t="s">
        <v>6</v>
      </c>
      <c r="L175" s="19">
        <v>94086</v>
      </c>
      <c r="M175" s="19">
        <v>37.382331999999998</v>
      </c>
      <c r="N175" s="19">
        <v>-122.04499800000001</v>
      </c>
      <c r="O175" s="19" t="s">
        <v>786</v>
      </c>
      <c r="P175" s="19" t="s">
        <v>1414</v>
      </c>
      <c r="Q175" s="19" t="s">
        <v>787</v>
      </c>
      <c r="R175" s="19" t="s">
        <v>5</v>
      </c>
      <c r="S175" s="19" t="s">
        <v>788</v>
      </c>
      <c r="T175" s="19" t="s">
        <v>843</v>
      </c>
      <c r="U175" s="19" t="s">
        <v>790</v>
      </c>
      <c r="V175" s="19" t="s">
        <v>846</v>
      </c>
      <c r="W175" s="20">
        <v>1</v>
      </c>
      <c r="X175" s="39">
        <v>2001</v>
      </c>
      <c r="Y175" s="39">
        <v>2007</v>
      </c>
      <c r="Z175" s="25">
        <v>39345</v>
      </c>
      <c r="AA175" s="19">
        <v>2008</v>
      </c>
      <c r="AB175" s="25">
        <v>39356</v>
      </c>
      <c r="AC175" s="19" t="s">
        <v>783</v>
      </c>
      <c r="AD175" s="19" t="s">
        <v>784</v>
      </c>
      <c r="AE175" s="21">
        <v>0</v>
      </c>
      <c r="AF175" s="19">
        <v>2</v>
      </c>
      <c r="AG175" s="19">
        <v>26</v>
      </c>
      <c r="AH175" s="19" t="s">
        <v>792</v>
      </c>
      <c r="AI175" s="19" t="s">
        <v>1385</v>
      </c>
      <c r="AJ175" s="19">
        <v>3</v>
      </c>
      <c r="AK175" s="19">
        <v>2032</v>
      </c>
      <c r="AL175" s="43" t="s">
        <v>378</v>
      </c>
      <c r="AM175" s="19">
        <v>0</v>
      </c>
      <c r="AN175" s="19" t="s">
        <v>1406</v>
      </c>
      <c r="AO175" s="19" t="s">
        <v>1527</v>
      </c>
      <c r="AP175" s="19" t="s">
        <v>1506</v>
      </c>
      <c r="AQ175" s="26">
        <f>IFERROR(PropInfo[[#This Row],[Yardi]]*1,PropInfo[[#This Row],[Yardi]])</f>
        <v>333</v>
      </c>
    </row>
    <row r="176" spans="1:43" x14ac:dyDescent="0.2">
      <c r="A176" s="43" t="s">
        <v>58</v>
      </c>
      <c r="B176" s="19" t="s">
        <v>59</v>
      </c>
      <c r="C176" s="37">
        <v>90</v>
      </c>
      <c r="D176" s="37">
        <v>75852</v>
      </c>
      <c r="E176" s="19" t="s" vm="69">
        <v>1368</v>
      </c>
      <c r="F176" s="19" t="s">
        <v>1409</v>
      </c>
      <c r="G176" s="19" t="s">
        <v>781</v>
      </c>
      <c r="H176" s="19" t="s">
        <v>59</v>
      </c>
      <c r="I176" s="19" t="s">
        <v>60</v>
      </c>
      <c r="J176" s="19" t="s">
        <v>61</v>
      </c>
      <c r="K176" s="19" t="s">
        <v>27</v>
      </c>
      <c r="L176" s="19">
        <v>98034</v>
      </c>
      <c r="M176" s="19">
        <v>47.708880999999998</v>
      </c>
      <c r="N176" s="19">
        <v>-122.169746</v>
      </c>
      <c r="O176" s="19" t="s">
        <v>1090</v>
      </c>
      <c r="P176" s="19" t="s">
        <v>1412</v>
      </c>
      <c r="Q176" s="19" t="s">
        <v>1091</v>
      </c>
      <c r="R176" s="19" t="s">
        <v>1092</v>
      </c>
      <c r="S176" s="19" t="s">
        <v>1093</v>
      </c>
      <c r="T176" s="19" t="s">
        <v>1108</v>
      </c>
      <c r="U176" s="19" t="s">
        <v>790</v>
      </c>
      <c r="V176" s="19" t="s">
        <v>782</v>
      </c>
      <c r="W176" s="20">
        <v>1</v>
      </c>
      <c r="X176" s="39">
        <v>1988</v>
      </c>
      <c r="Y176" s="39">
        <v>2012</v>
      </c>
      <c r="Z176" s="25">
        <v>41184</v>
      </c>
      <c r="AA176" s="19">
        <v>2014</v>
      </c>
      <c r="AB176" s="25">
        <v>41426</v>
      </c>
      <c r="AC176" s="19" t="s">
        <v>783</v>
      </c>
      <c r="AD176" s="19" t="s">
        <v>784</v>
      </c>
      <c r="AE176" s="21" t="s">
        <v>1494</v>
      </c>
      <c r="AF176" s="19">
        <v>3</v>
      </c>
      <c r="AG176" s="19">
        <v>7</v>
      </c>
      <c r="AH176" s="19" t="s">
        <v>792</v>
      </c>
      <c r="AI176" s="19"/>
      <c r="AJ176" s="19"/>
      <c r="AK176" s="19"/>
      <c r="AL176" s="43" t="s">
        <v>58</v>
      </c>
      <c r="AM176" s="19">
        <v>29</v>
      </c>
      <c r="AN176" s="19" t="s">
        <v>1403</v>
      </c>
      <c r="AO176" s="19" t="s">
        <v>1349</v>
      </c>
      <c r="AP176" s="19">
        <v>56810</v>
      </c>
      <c r="AQ176" s="26">
        <f>IFERROR(PropInfo[[#This Row],[Yardi]]*1,PropInfo[[#This Row],[Yardi]])</f>
        <v>336</v>
      </c>
    </row>
    <row r="177" spans="1:43" x14ac:dyDescent="0.2">
      <c r="A177" s="43" t="s">
        <v>542</v>
      </c>
      <c r="B177" s="19" t="s">
        <v>543</v>
      </c>
      <c r="C177" s="37">
        <v>108</v>
      </c>
      <c r="D177" s="37">
        <v>81693</v>
      </c>
      <c r="E177" s="19" t="s" vm="132">
        <v>1368</v>
      </c>
      <c r="F177" s="19" t="s">
        <v>1409</v>
      </c>
      <c r="G177" s="19" t="s">
        <v>781</v>
      </c>
      <c r="H177" s="19" t="s">
        <v>543</v>
      </c>
      <c r="I177" s="19" t="s">
        <v>544</v>
      </c>
      <c r="J177" s="19" t="s">
        <v>61</v>
      </c>
      <c r="K177" s="19" t="s">
        <v>27</v>
      </c>
      <c r="L177" s="19">
        <v>98033</v>
      </c>
      <c r="M177" s="19">
        <v>47.703029999999998</v>
      </c>
      <c r="N177" s="19">
        <v>-122.175797</v>
      </c>
      <c r="O177" s="19" t="s">
        <v>1090</v>
      </c>
      <c r="P177" s="19" t="s">
        <v>1412</v>
      </c>
      <c r="Q177" s="19" t="s">
        <v>1091</v>
      </c>
      <c r="R177" s="19" t="s">
        <v>1092</v>
      </c>
      <c r="S177" s="19" t="s">
        <v>1093</v>
      </c>
      <c r="T177" s="19" t="s">
        <v>1108</v>
      </c>
      <c r="U177" s="19" t="s">
        <v>790</v>
      </c>
      <c r="V177" s="19" t="s">
        <v>782</v>
      </c>
      <c r="W177" s="20">
        <v>1</v>
      </c>
      <c r="X177" s="39">
        <v>2013</v>
      </c>
      <c r="Y177" s="39">
        <v>2013</v>
      </c>
      <c r="Z177" s="25">
        <v>41537</v>
      </c>
      <c r="AA177" s="19">
        <v>2015</v>
      </c>
      <c r="AB177" s="25">
        <v>41760</v>
      </c>
      <c r="AC177" s="19" t="s">
        <v>804</v>
      </c>
      <c r="AD177" s="19" t="s">
        <v>800</v>
      </c>
      <c r="AE177" s="21" t="s">
        <v>1494</v>
      </c>
      <c r="AF177" s="19">
        <v>4</v>
      </c>
      <c r="AG177" s="19">
        <v>2</v>
      </c>
      <c r="AH177" s="19" t="s">
        <v>792</v>
      </c>
      <c r="AI177" s="19" t="s">
        <v>1375</v>
      </c>
      <c r="AJ177" s="19">
        <v>11</v>
      </c>
      <c r="AK177" s="19" t="s">
        <v>1379</v>
      </c>
      <c r="AL177" s="43" t="s">
        <v>542</v>
      </c>
      <c r="AM177" s="19">
        <v>27</v>
      </c>
      <c r="AN177" s="19" t="s">
        <v>1403</v>
      </c>
      <c r="AO177" s="19" t="s">
        <v>1349</v>
      </c>
      <c r="AP177" s="19">
        <v>44212</v>
      </c>
      <c r="AQ177" s="26">
        <f>IFERROR(PropInfo[[#This Row],[Yardi]]*1,PropInfo[[#This Row],[Yardi]])</f>
        <v>338</v>
      </c>
    </row>
    <row r="178" spans="1:43" hidden="1" x14ac:dyDescent="0.2">
      <c r="A178" s="43" t="s">
        <v>1158</v>
      </c>
      <c r="B178" s="19" t="s">
        <v>1159</v>
      </c>
      <c r="C178" s="37">
        <v>3</v>
      </c>
      <c r="D178" s="37">
        <v>8942</v>
      </c>
      <c r="E178" s="19" t="s">
        <v>762</v>
      </c>
      <c r="F178" s="19" t="s">
        <v>1409</v>
      </c>
      <c r="G178" s="19" t="s">
        <v>835</v>
      </c>
      <c r="H178" s="19" t="s">
        <v>370</v>
      </c>
      <c r="I178" s="19" t="s">
        <v>371</v>
      </c>
      <c r="J178" s="19" t="s">
        <v>138</v>
      </c>
      <c r="K178" s="19" t="s">
        <v>6</v>
      </c>
      <c r="L178" s="19">
        <v>94089</v>
      </c>
      <c r="M178" s="19">
        <v>37.406367899999999</v>
      </c>
      <c r="N178" s="19">
        <v>-121.99584400000001</v>
      </c>
      <c r="O178" s="19" t="s">
        <v>786</v>
      </c>
      <c r="P178" s="19" t="s">
        <v>1414</v>
      </c>
      <c r="Q178" s="19" t="s">
        <v>787</v>
      </c>
      <c r="R178" s="19" t="s">
        <v>5</v>
      </c>
      <c r="S178" s="19" t="s">
        <v>788</v>
      </c>
      <c r="T178" s="19" t="s">
        <v>843</v>
      </c>
      <c r="U178" s="19" t="s">
        <v>820</v>
      </c>
      <c r="V178" s="19" t="s">
        <v>782</v>
      </c>
      <c r="W178" s="20">
        <v>1</v>
      </c>
      <c r="X178" s="39">
        <v>2012</v>
      </c>
      <c r="Y178" s="39">
        <v>2014</v>
      </c>
      <c r="Z178" s="25">
        <v>41730</v>
      </c>
      <c r="AA178" s="19">
        <v>2015</v>
      </c>
      <c r="AB178" s="25">
        <v>41791</v>
      </c>
      <c r="AC178" s="19" t="s">
        <v>804</v>
      </c>
      <c r="AD178" s="19" t="s">
        <v>800</v>
      </c>
      <c r="AE178" s="21">
        <v>0</v>
      </c>
      <c r="AF178" s="19">
        <v>4</v>
      </c>
      <c r="AG178" s="19">
        <v>3</v>
      </c>
      <c r="AH178" s="19" t="s">
        <v>792</v>
      </c>
      <c r="AI178" s="19"/>
      <c r="AJ178" s="19"/>
      <c r="AK178" s="19"/>
      <c r="AL178" s="43" t="e">
        <v>#N/A</v>
      </c>
      <c r="AM178" s="19" t="e">
        <v>#N/A</v>
      </c>
      <c r="AN178" s="19" t="e">
        <v>#N/A</v>
      </c>
      <c r="AO178" s="19" t="s">
        <v>1565</v>
      </c>
      <c r="AP178" s="19">
        <v>0</v>
      </c>
      <c r="AQ178" s="26" t="str">
        <f>IFERROR(PropInfo[[#This Row],[Yardi]]*1,PropInfo[[#This Row],[Yardi]])</f>
        <v>sfo2267</v>
      </c>
    </row>
    <row r="179" spans="1:43" x14ac:dyDescent="0.2">
      <c r="A179" s="43" t="s">
        <v>436</v>
      </c>
      <c r="B179" s="19" t="s">
        <v>437</v>
      </c>
      <c r="C179" s="37">
        <v>312</v>
      </c>
      <c r="D179" s="37">
        <v>283048</v>
      </c>
      <c r="E179" s="19" t="s">
        <v>1369</v>
      </c>
      <c r="F179" s="19" t="s">
        <v>1409</v>
      </c>
      <c r="G179" s="19" t="s">
        <v>781</v>
      </c>
      <c r="H179" s="19" t="s">
        <v>437</v>
      </c>
      <c r="I179" s="19" t="s">
        <v>811</v>
      </c>
      <c r="J179" s="19" t="s">
        <v>9</v>
      </c>
      <c r="K179" s="19" t="s">
        <v>6</v>
      </c>
      <c r="L179" s="19">
        <v>95113</v>
      </c>
      <c r="M179" s="19">
        <v>37.335129000000002</v>
      </c>
      <c r="N179" s="19">
        <v>-121.892263</v>
      </c>
      <c r="O179" s="19" t="s">
        <v>786</v>
      </c>
      <c r="P179" s="19" t="s">
        <v>1414</v>
      </c>
      <c r="Q179" s="19" t="s">
        <v>787</v>
      </c>
      <c r="R179" s="19" t="s">
        <v>5</v>
      </c>
      <c r="S179" s="19" t="s">
        <v>797</v>
      </c>
      <c r="T179" s="19" t="s">
        <v>805</v>
      </c>
      <c r="U179" s="19" t="s">
        <v>779</v>
      </c>
      <c r="V179" s="19" t="s">
        <v>810</v>
      </c>
      <c r="W179" s="20">
        <v>1</v>
      </c>
      <c r="X179" s="39">
        <v>2015</v>
      </c>
      <c r="Y179" s="39">
        <v>2013</v>
      </c>
      <c r="Z179" s="25">
        <v>41425</v>
      </c>
      <c r="AA179" s="19">
        <v>2017</v>
      </c>
      <c r="AB179" s="25">
        <v>42430</v>
      </c>
      <c r="AC179" s="19" t="s">
        <v>804</v>
      </c>
      <c r="AD179" s="19" t="s">
        <v>808</v>
      </c>
      <c r="AE179" s="21">
        <v>312</v>
      </c>
      <c r="AF179" s="19">
        <v>23</v>
      </c>
      <c r="AG179" s="19">
        <v>1</v>
      </c>
      <c r="AH179" s="19"/>
      <c r="AI179" s="19"/>
      <c r="AJ179" s="19"/>
      <c r="AK179" s="19"/>
      <c r="AL179" s="43" t="s">
        <v>436</v>
      </c>
      <c r="AM179" s="19">
        <v>0</v>
      </c>
      <c r="AN179" s="19" t="s">
        <v>1406</v>
      </c>
      <c r="AO179" s="19" t="s">
        <v>1352</v>
      </c>
      <c r="AP179" s="19">
        <v>37698</v>
      </c>
      <c r="AQ179" s="26">
        <f>IFERROR(PropInfo[[#This Row],[Yardi]]*1,PropInfo[[#This Row],[Yardi]])</f>
        <v>345</v>
      </c>
    </row>
    <row r="180" spans="1:43" x14ac:dyDescent="0.2">
      <c r="A180" s="43" t="s">
        <v>56</v>
      </c>
      <c r="B180" s="19" t="s">
        <v>1003</v>
      </c>
      <c r="C180" s="37">
        <v>373</v>
      </c>
      <c r="D180" s="37">
        <v>503196</v>
      </c>
      <c r="E180" s="19" t="s" vm="78">
        <v>842</v>
      </c>
      <c r="F180" s="19" t="s">
        <v>1409</v>
      </c>
      <c r="G180" s="19" t="s">
        <v>781</v>
      </c>
      <c r="H180" s="19" t="s">
        <v>1003</v>
      </c>
      <c r="I180" s="19" t="s">
        <v>1004</v>
      </c>
      <c r="J180" s="19" t="s">
        <v>57</v>
      </c>
      <c r="K180" s="19" t="s">
        <v>6</v>
      </c>
      <c r="L180" s="19">
        <v>93030</v>
      </c>
      <c r="M180" s="19">
        <v>34.215541999999999</v>
      </c>
      <c r="N180" s="19">
        <v>-119.15220600000001</v>
      </c>
      <c r="O180" s="19" t="s">
        <v>929</v>
      </c>
      <c r="P180" s="19" t="s">
        <v>1413</v>
      </c>
      <c r="Q180" s="19" t="s">
        <v>995</v>
      </c>
      <c r="R180" s="19" t="s">
        <v>375</v>
      </c>
      <c r="S180" s="19" t="s">
        <v>375</v>
      </c>
      <c r="T180" s="19" t="s">
        <v>57</v>
      </c>
      <c r="U180" s="19" t="s">
        <v>790</v>
      </c>
      <c r="V180" s="19" t="s">
        <v>842</v>
      </c>
      <c r="W180" s="20">
        <v>0.5</v>
      </c>
      <c r="X180" s="39">
        <v>2001</v>
      </c>
      <c r="Y180" s="39">
        <v>2011</v>
      </c>
      <c r="Z180" s="25">
        <v>40668</v>
      </c>
      <c r="AA180" s="19">
        <v>2012</v>
      </c>
      <c r="AB180" s="25">
        <v>40909</v>
      </c>
      <c r="AC180" s="19" t="s">
        <v>783</v>
      </c>
      <c r="AD180" s="19" t="s">
        <v>784</v>
      </c>
      <c r="AE180" s="21">
        <v>0</v>
      </c>
      <c r="AF180" s="19">
        <v>3</v>
      </c>
      <c r="AG180" s="19">
        <v>36</v>
      </c>
      <c r="AH180" s="19" t="s">
        <v>785</v>
      </c>
      <c r="AI180" s="19"/>
      <c r="AJ180" s="19"/>
      <c r="AK180" s="19"/>
      <c r="AL180" s="43" t="s">
        <v>56</v>
      </c>
      <c r="AM180" s="19">
        <v>13</v>
      </c>
      <c r="AN180" s="19" t="s">
        <v>1403</v>
      </c>
      <c r="AO180" s="19" t="s">
        <v>1355</v>
      </c>
      <c r="AP180" s="19">
        <v>14630</v>
      </c>
      <c r="AQ180" s="26">
        <f>IFERROR(PropInfo[[#This Row],[Yardi]]*1,PropInfo[[#This Row],[Yardi]])</f>
        <v>351</v>
      </c>
    </row>
    <row r="181" spans="1:43" x14ac:dyDescent="0.2">
      <c r="A181" s="43" t="s">
        <v>511</v>
      </c>
      <c r="B181" s="19" t="s">
        <v>512</v>
      </c>
      <c r="C181" s="37">
        <v>438</v>
      </c>
      <c r="D181" s="37">
        <v>414892</v>
      </c>
      <c r="E181" s="19" t="s" vm="70">
        <v>1368</v>
      </c>
      <c r="F181" s="19" t="s">
        <v>1409</v>
      </c>
      <c r="G181" s="19" t="s">
        <v>781</v>
      </c>
      <c r="H181" s="19" t="s">
        <v>512</v>
      </c>
      <c r="I181" s="19" t="s">
        <v>513</v>
      </c>
      <c r="J181" s="19" t="s">
        <v>78</v>
      </c>
      <c r="K181" s="19" t="s">
        <v>6</v>
      </c>
      <c r="L181" s="19">
        <v>91303</v>
      </c>
      <c r="M181" s="19">
        <v>34.191924999999998</v>
      </c>
      <c r="N181" s="19">
        <v>-118.594139</v>
      </c>
      <c r="O181" s="19" t="s">
        <v>929</v>
      </c>
      <c r="P181" s="19" t="s">
        <v>1413</v>
      </c>
      <c r="Q181" s="19" t="s">
        <v>930</v>
      </c>
      <c r="R181" s="19" t="s">
        <v>21</v>
      </c>
      <c r="S181" s="19" t="s">
        <v>78</v>
      </c>
      <c r="T181" s="19" t="s">
        <v>78</v>
      </c>
      <c r="U181" s="19" t="s">
        <v>790</v>
      </c>
      <c r="V181" s="19" t="s">
        <v>782</v>
      </c>
      <c r="W181" s="20">
        <v>0.99750000000000005</v>
      </c>
      <c r="X181" s="39">
        <v>2010</v>
      </c>
      <c r="Y181" s="39">
        <v>2011</v>
      </c>
      <c r="Z181" s="25">
        <v>40737</v>
      </c>
      <c r="AA181" s="19">
        <v>2013</v>
      </c>
      <c r="AB181" s="25">
        <v>41091</v>
      </c>
      <c r="AC181" s="19" t="s">
        <v>783</v>
      </c>
      <c r="AD181" s="19" t="s">
        <v>796</v>
      </c>
      <c r="AE181" s="21">
        <v>0</v>
      </c>
      <c r="AF181" s="19">
        <v>4</v>
      </c>
      <c r="AG181" s="19">
        <v>1</v>
      </c>
      <c r="AH181" s="19" t="s">
        <v>785</v>
      </c>
      <c r="AI181" s="19"/>
      <c r="AJ181" s="19"/>
      <c r="AK181" s="19"/>
      <c r="AL181" s="43" t="s">
        <v>511</v>
      </c>
      <c r="AM181" s="19">
        <v>0</v>
      </c>
      <c r="AN181" s="19" t="s">
        <v>1406</v>
      </c>
      <c r="AO181" s="19" t="s">
        <v>1363</v>
      </c>
      <c r="AP181" s="19">
        <v>36254</v>
      </c>
      <c r="AQ181" s="26">
        <f>IFERROR(PropInfo[[#This Row],[Yardi]]*1,PropInfo[[#This Row],[Yardi]])</f>
        <v>352</v>
      </c>
    </row>
    <row r="182" spans="1:43" x14ac:dyDescent="0.2">
      <c r="A182" s="43" t="s">
        <v>612</v>
      </c>
      <c r="B182" s="19" t="s">
        <v>1439</v>
      </c>
      <c r="C182" s="37">
        <v>440</v>
      </c>
      <c r="D182" s="37">
        <v>381675</v>
      </c>
      <c r="E182" s="19" t="s" vm="136">
        <v>842</v>
      </c>
      <c r="F182" s="19" t="s">
        <v>1409</v>
      </c>
      <c r="G182" s="19" t="s">
        <v>781</v>
      </c>
      <c r="H182" s="19" t="s">
        <v>1126</v>
      </c>
      <c r="I182" s="19" t="s">
        <v>1127</v>
      </c>
      <c r="J182" s="19" t="s">
        <v>230</v>
      </c>
      <c r="K182" s="19" t="s">
        <v>27</v>
      </c>
      <c r="L182" s="19">
        <v>98052</v>
      </c>
      <c r="M182" s="19">
        <v>47.658329999999999</v>
      </c>
      <c r="N182" s="19">
        <v>-122.08888469999999</v>
      </c>
      <c r="O182" s="19" t="s">
        <v>1090</v>
      </c>
      <c r="P182" s="19" t="s">
        <v>1412</v>
      </c>
      <c r="Q182" s="19" t="s">
        <v>1091</v>
      </c>
      <c r="R182" s="19" t="s">
        <v>1092</v>
      </c>
      <c r="S182" s="19" t="s">
        <v>1093</v>
      </c>
      <c r="T182" s="19" t="s">
        <v>230</v>
      </c>
      <c r="U182" s="19" t="s">
        <v>790</v>
      </c>
      <c r="V182" s="19" t="s">
        <v>842</v>
      </c>
      <c r="W182" s="20">
        <v>0.5</v>
      </c>
      <c r="X182" s="39">
        <v>1998</v>
      </c>
      <c r="Y182" s="39">
        <v>2011</v>
      </c>
      <c r="Z182" s="25">
        <v>40806</v>
      </c>
      <c r="AA182" s="19">
        <v>2012</v>
      </c>
      <c r="AB182" s="25">
        <v>40909</v>
      </c>
      <c r="AC182" s="19" t="s">
        <v>783</v>
      </c>
      <c r="AD182" s="19" t="s">
        <v>784</v>
      </c>
      <c r="AE182" s="21" t="s">
        <v>1494</v>
      </c>
      <c r="AF182" s="19">
        <v>3</v>
      </c>
      <c r="AG182" s="19">
        <v>32</v>
      </c>
      <c r="AH182" s="19" t="s">
        <v>785</v>
      </c>
      <c r="AI182" s="19"/>
      <c r="AJ182" s="19"/>
      <c r="AK182" s="19"/>
      <c r="AL182" s="43" t="s">
        <v>612</v>
      </c>
      <c r="AM182" s="19">
        <v>0</v>
      </c>
      <c r="AN182" s="19" t="s">
        <v>1406</v>
      </c>
      <c r="AO182" s="19" t="s">
        <v>1348</v>
      </c>
      <c r="AP182" s="19">
        <v>38572</v>
      </c>
      <c r="AQ182" s="26">
        <f>IFERROR(PropInfo[[#This Row],[Yardi]]*1,PropInfo[[#This Row],[Yardi]])</f>
        <v>353</v>
      </c>
    </row>
    <row r="183" spans="1:43" x14ac:dyDescent="0.2">
      <c r="A183" s="43" t="s">
        <v>493</v>
      </c>
      <c r="B183" s="19" t="s">
        <v>494</v>
      </c>
      <c r="C183" s="37">
        <v>442</v>
      </c>
      <c r="D183" s="37">
        <v>350275</v>
      </c>
      <c r="E183" s="19" t="s" vm="215">
        <v>842</v>
      </c>
      <c r="F183" s="19" t="s">
        <v>1409</v>
      </c>
      <c r="G183" s="19" t="s">
        <v>781</v>
      </c>
      <c r="H183" s="19" t="s">
        <v>494</v>
      </c>
      <c r="I183" s="19" t="s">
        <v>495</v>
      </c>
      <c r="J183" s="19" t="s">
        <v>230</v>
      </c>
      <c r="K183" s="19" t="s">
        <v>27</v>
      </c>
      <c r="L183" s="19">
        <v>98052</v>
      </c>
      <c r="M183" s="19">
        <v>47.659809000000003</v>
      </c>
      <c r="N183" s="19">
        <v>-122.09204099999999</v>
      </c>
      <c r="O183" s="19" t="s">
        <v>1090</v>
      </c>
      <c r="P183" s="19" t="s">
        <v>1412</v>
      </c>
      <c r="Q183" s="19" t="s">
        <v>1091</v>
      </c>
      <c r="R183" s="19" t="s">
        <v>1092</v>
      </c>
      <c r="S183" s="19" t="s">
        <v>1093</v>
      </c>
      <c r="T183" s="19" t="s">
        <v>230</v>
      </c>
      <c r="U183" s="19" t="s">
        <v>790</v>
      </c>
      <c r="V183" s="19" t="s">
        <v>842</v>
      </c>
      <c r="W183" s="20">
        <v>0.5</v>
      </c>
      <c r="X183" s="39">
        <v>1985</v>
      </c>
      <c r="Y183" s="39">
        <v>2011</v>
      </c>
      <c r="Z183" s="25">
        <v>40806</v>
      </c>
      <c r="AA183" s="19">
        <v>2012</v>
      </c>
      <c r="AB183" s="25">
        <v>40909</v>
      </c>
      <c r="AC183" s="19" t="s">
        <v>783</v>
      </c>
      <c r="AD183" s="19" t="s">
        <v>784</v>
      </c>
      <c r="AE183" s="21" t="s">
        <v>1494</v>
      </c>
      <c r="AF183" s="19">
        <v>3</v>
      </c>
      <c r="AG183" s="19">
        <v>26</v>
      </c>
      <c r="AH183" s="19" t="s">
        <v>785</v>
      </c>
      <c r="AI183" s="19"/>
      <c r="AJ183" s="19"/>
      <c r="AK183" s="19"/>
      <c r="AL183" s="43" t="s">
        <v>493</v>
      </c>
      <c r="AM183" s="19">
        <v>0</v>
      </c>
      <c r="AN183" s="19" t="s">
        <v>1406</v>
      </c>
      <c r="AO183" s="19" t="s">
        <v>1348</v>
      </c>
      <c r="AP183" s="19">
        <v>38570</v>
      </c>
      <c r="AQ183" s="26">
        <f>IFERROR(PropInfo[[#This Row],[Yardi]]*1,PropInfo[[#This Row],[Yardi]])</f>
        <v>354</v>
      </c>
    </row>
    <row r="184" spans="1:43" x14ac:dyDescent="0.2">
      <c r="A184" s="43" t="s">
        <v>122</v>
      </c>
      <c r="B184" s="19" t="s">
        <v>123</v>
      </c>
      <c r="C184" s="37">
        <v>160</v>
      </c>
      <c r="D184" s="37">
        <v>110600</v>
      </c>
      <c r="E184" s="19" t="s" vm="79">
        <v>842</v>
      </c>
      <c r="F184" s="19" t="s">
        <v>1409</v>
      </c>
      <c r="G184" s="19" t="s">
        <v>781</v>
      </c>
      <c r="H184" s="19" t="s">
        <v>123</v>
      </c>
      <c r="I184" s="19" t="s">
        <v>124</v>
      </c>
      <c r="J184" s="19" t="s">
        <v>119</v>
      </c>
      <c r="K184" s="19" t="s">
        <v>6</v>
      </c>
      <c r="L184" s="19">
        <v>49538</v>
      </c>
      <c r="M184" s="19">
        <v>37.532966999999999</v>
      </c>
      <c r="N184" s="19">
        <v>-121.96519499999999</v>
      </c>
      <c r="O184" s="19" t="s">
        <v>786</v>
      </c>
      <c r="P184" s="19" t="s">
        <v>1414</v>
      </c>
      <c r="Q184" s="19" t="s">
        <v>853</v>
      </c>
      <c r="R184" s="19" t="s">
        <v>854</v>
      </c>
      <c r="S184" s="19" t="s">
        <v>119</v>
      </c>
      <c r="T184" s="19" t="s">
        <v>119</v>
      </c>
      <c r="U184" s="19" t="s">
        <v>790</v>
      </c>
      <c r="V184" s="19" t="s">
        <v>842</v>
      </c>
      <c r="W184" s="20">
        <v>0.5</v>
      </c>
      <c r="X184" s="39">
        <v>1978</v>
      </c>
      <c r="Y184" s="39">
        <v>2011</v>
      </c>
      <c r="Z184" s="25">
        <v>40897</v>
      </c>
      <c r="AA184" s="19">
        <v>2013</v>
      </c>
      <c r="AB184" s="25">
        <v>40969</v>
      </c>
      <c r="AC184" s="19" t="s">
        <v>783</v>
      </c>
      <c r="AD184" s="19" t="s">
        <v>784</v>
      </c>
      <c r="AE184" s="21">
        <v>0</v>
      </c>
      <c r="AF184" s="19">
        <v>2</v>
      </c>
      <c r="AG184" s="19">
        <v>10</v>
      </c>
      <c r="AH184" s="19" t="s">
        <v>785</v>
      </c>
      <c r="AI184" s="19"/>
      <c r="AJ184" s="19"/>
      <c r="AK184" s="19"/>
      <c r="AL184" s="43" t="s">
        <v>122</v>
      </c>
      <c r="AM184" s="19">
        <v>0</v>
      </c>
      <c r="AN184" s="19" t="s">
        <v>1406</v>
      </c>
      <c r="AO184" s="19" t="s">
        <v>1568</v>
      </c>
      <c r="AP184" s="19">
        <v>14379</v>
      </c>
      <c r="AQ184" s="26">
        <f>IFERROR(PropInfo[[#This Row],[Yardi]]*1,PropInfo[[#This Row],[Yardi]])</f>
        <v>355</v>
      </c>
    </row>
    <row r="185" spans="1:43" x14ac:dyDescent="0.2">
      <c r="A185" s="43" t="s">
        <v>596</v>
      </c>
      <c r="B185" s="19" t="s">
        <v>1432</v>
      </c>
      <c r="C185" s="37">
        <v>160</v>
      </c>
      <c r="D185" s="37">
        <v>104800</v>
      </c>
      <c r="E185" s="19" t="s" vm="74">
        <v>842</v>
      </c>
      <c r="F185" s="19" t="s">
        <v>1409</v>
      </c>
      <c r="G185" s="19" t="s">
        <v>781</v>
      </c>
      <c r="H185" s="19" t="s">
        <v>1432</v>
      </c>
      <c r="I185" s="19" t="s">
        <v>597</v>
      </c>
      <c r="J185" s="19" t="s">
        <v>119</v>
      </c>
      <c r="K185" s="19" t="s">
        <v>6</v>
      </c>
      <c r="L185" s="19">
        <v>94538</v>
      </c>
      <c r="M185" s="19">
        <v>37.538960000000003</v>
      </c>
      <c r="N185" s="19">
        <v>-121.961212</v>
      </c>
      <c r="O185" s="19" t="s">
        <v>786</v>
      </c>
      <c r="P185" s="19" t="s">
        <v>1414</v>
      </c>
      <c r="Q185" s="19" t="s">
        <v>853</v>
      </c>
      <c r="R185" s="19" t="s">
        <v>854</v>
      </c>
      <c r="S185" s="19" t="s">
        <v>119</v>
      </c>
      <c r="T185" s="19" t="s">
        <v>119</v>
      </c>
      <c r="U185" s="19" t="s">
        <v>790</v>
      </c>
      <c r="V185" s="19" t="s">
        <v>842</v>
      </c>
      <c r="W185" s="20">
        <v>0.5</v>
      </c>
      <c r="X185" s="39">
        <v>1978</v>
      </c>
      <c r="Y185" s="39">
        <v>2011</v>
      </c>
      <c r="Z185" s="25">
        <v>40899</v>
      </c>
      <c r="AA185" s="19">
        <v>2012</v>
      </c>
      <c r="AB185" s="25">
        <v>40909</v>
      </c>
      <c r="AC185" s="19" t="s">
        <v>783</v>
      </c>
      <c r="AD185" s="19" t="s">
        <v>784</v>
      </c>
      <c r="AE185" s="21">
        <v>0</v>
      </c>
      <c r="AF185" s="19">
        <v>2</v>
      </c>
      <c r="AG185" s="19">
        <v>10</v>
      </c>
      <c r="AH185" s="19" t="s">
        <v>785</v>
      </c>
      <c r="AI185" s="19"/>
      <c r="AJ185" s="19"/>
      <c r="AK185" s="19"/>
      <c r="AL185" s="43" t="s">
        <v>596</v>
      </c>
      <c r="AM185" s="19">
        <v>0</v>
      </c>
      <c r="AN185" s="19" t="s">
        <v>1406</v>
      </c>
      <c r="AO185" s="19" t="s">
        <v>1568</v>
      </c>
      <c r="AP185" s="19">
        <v>56811</v>
      </c>
      <c r="AQ185" s="26">
        <f>IFERROR(PropInfo[[#This Row],[Yardi]]*1,PropInfo[[#This Row],[Yardi]])</f>
        <v>356</v>
      </c>
    </row>
    <row r="186" spans="1:43" x14ac:dyDescent="0.2">
      <c r="A186" s="43" t="s">
        <v>514</v>
      </c>
      <c r="B186" s="19" t="s">
        <v>515</v>
      </c>
      <c r="C186" s="37">
        <v>156</v>
      </c>
      <c r="D186" s="37">
        <v>126900</v>
      </c>
      <c r="E186" s="19" t="s" vm="137">
        <v>842</v>
      </c>
      <c r="F186" s="19" t="s">
        <v>1409</v>
      </c>
      <c r="G186" s="19" t="s">
        <v>781</v>
      </c>
      <c r="H186" s="19" t="s">
        <v>515</v>
      </c>
      <c r="I186" s="19" t="s">
        <v>516</v>
      </c>
      <c r="J186" s="19" t="s">
        <v>5</v>
      </c>
      <c r="K186" s="19" t="s">
        <v>6</v>
      </c>
      <c r="L186" s="19">
        <v>95051</v>
      </c>
      <c r="M186" s="19">
        <v>37.360152999999997</v>
      </c>
      <c r="N186" s="19">
        <v>-121.99831399999999</v>
      </c>
      <c r="O186" s="19" t="s">
        <v>786</v>
      </c>
      <c r="P186" s="19" t="s">
        <v>1414</v>
      </c>
      <c r="Q186" s="19" t="s">
        <v>787</v>
      </c>
      <c r="R186" s="19" t="s">
        <v>5</v>
      </c>
      <c r="S186" s="19" t="s">
        <v>788</v>
      </c>
      <c r="T186" s="19" t="s">
        <v>5</v>
      </c>
      <c r="U186" s="19" t="s">
        <v>790</v>
      </c>
      <c r="V186" s="19" t="s">
        <v>842</v>
      </c>
      <c r="W186" s="20">
        <v>0.5</v>
      </c>
      <c r="X186" s="39">
        <v>1972</v>
      </c>
      <c r="Y186" s="39">
        <v>2012</v>
      </c>
      <c r="Z186" s="25">
        <v>41151</v>
      </c>
      <c r="AA186" s="19">
        <v>2014</v>
      </c>
      <c r="AB186" s="25">
        <v>41334</v>
      </c>
      <c r="AC186" s="19" t="s">
        <v>783</v>
      </c>
      <c r="AD186" s="19" t="s">
        <v>784</v>
      </c>
      <c r="AE186" s="21">
        <v>0</v>
      </c>
      <c r="AF186" s="19">
        <v>2</v>
      </c>
      <c r="AG186" s="19">
        <v>18</v>
      </c>
      <c r="AH186" s="19" t="s">
        <v>809</v>
      </c>
      <c r="AI186" s="19"/>
      <c r="AJ186" s="19"/>
      <c r="AK186" s="19"/>
      <c r="AL186" s="43" t="s">
        <v>514</v>
      </c>
      <c r="AM186" s="19">
        <v>0</v>
      </c>
      <c r="AN186" s="19" t="s">
        <v>1406</v>
      </c>
      <c r="AO186" s="19" t="s">
        <v>1531</v>
      </c>
      <c r="AP186" s="19">
        <v>12504</v>
      </c>
      <c r="AQ186" s="26">
        <f>IFERROR(PropInfo[[#This Row],[Yardi]]*1,PropInfo[[#This Row],[Yardi]])</f>
        <v>357</v>
      </c>
    </row>
    <row r="187" spans="1:43" x14ac:dyDescent="0.2">
      <c r="A187" s="43" t="s">
        <v>438</v>
      </c>
      <c r="B187" s="19" t="s">
        <v>439</v>
      </c>
      <c r="C187" s="37">
        <v>314</v>
      </c>
      <c r="D187" s="37">
        <v>277930</v>
      </c>
      <c r="E187" s="19" t="s" vm="213">
        <v>842</v>
      </c>
      <c r="F187" s="19" t="s">
        <v>1409</v>
      </c>
      <c r="G187" s="19" t="s">
        <v>781</v>
      </c>
      <c r="H187" s="19" t="s">
        <v>439</v>
      </c>
      <c r="I187" s="19" t="s">
        <v>949</v>
      </c>
      <c r="J187" s="19" t="s">
        <v>21</v>
      </c>
      <c r="K187" s="19" t="s">
        <v>6</v>
      </c>
      <c r="L187" s="19">
        <v>90014</v>
      </c>
      <c r="M187" s="19">
        <v>34.044949000000003</v>
      </c>
      <c r="N187" s="19">
        <v>-118.250168</v>
      </c>
      <c r="O187" s="19" t="s">
        <v>929</v>
      </c>
      <c r="P187" s="19" t="s">
        <v>1413</v>
      </c>
      <c r="Q187" s="19" t="s">
        <v>930</v>
      </c>
      <c r="R187" s="19" t="s">
        <v>21</v>
      </c>
      <c r="S187" s="19" t="s">
        <v>944</v>
      </c>
      <c r="T187" s="19" t="s">
        <v>945</v>
      </c>
      <c r="U187" s="19" t="s">
        <v>790</v>
      </c>
      <c r="V187" s="19" t="s">
        <v>842</v>
      </c>
      <c r="W187" s="20">
        <v>0.5</v>
      </c>
      <c r="X187" s="39">
        <v>2006</v>
      </c>
      <c r="Y187" s="39">
        <v>2012</v>
      </c>
      <c r="Z187" s="25">
        <v>41254</v>
      </c>
      <c r="AA187" s="19">
        <v>2014</v>
      </c>
      <c r="AB187" s="25">
        <v>41275</v>
      </c>
      <c r="AC187" s="19" t="s">
        <v>804</v>
      </c>
      <c r="AD187" s="19" t="s">
        <v>917</v>
      </c>
      <c r="AE187" s="21">
        <v>0</v>
      </c>
      <c r="AF187" s="19">
        <v>10</v>
      </c>
      <c r="AG187" s="19">
        <v>1</v>
      </c>
      <c r="AH187" s="19" t="s">
        <v>792</v>
      </c>
      <c r="AI187" s="19"/>
      <c r="AJ187" s="19"/>
      <c r="AK187" s="19"/>
      <c r="AL187" s="43" t="s">
        <v>438</v>
      </c>
      <c r="AM187" s="19">
        <v>2</v>
      </c>
      <c r="AN187" s="19" t="s">
        <v>1403</v>
      </c>
      <c r="AO187" s="19" t="s">
        <v>1528</v>
      </c>
      <c r="AP187" s="19">
        <v>48879</v>
      </c>
      <c r="AQ187" s="26">
        <f>IFERROR(PropInfo[[#This Row],[Yardi]]*1,PropInfo[[#This Row],[Yardi]])</f>
        <v>359</v>
      </c>
    </row>
    <row r="188" spans="1:43" hidden="1" x14ac:dyDescent="0.2">
      <c r="A188" s="43" t="s">
        <v>1169</v>
      </c>
      <c r="B188" s="19" t="s">
        <v>1170</v>
      </c>
      <c r="C188" s="37">
        <v>5</v>
      </c>
      <c r="D188" s="37">
        <v>11588</v>
      </c>
      <c r="E188" s="19" t="s">
        <v>762</v>
      </c>
      <c r="F188" s="19" t="s">
        <v>1409</v>
      </c>
      <c r="G188" s="19" t="s">
        <v>835</v>
      </c>
      <c r="H188" s="19" t="s">
        <v>918</v>
      </c>
      <c r="I188" s="19" t="s">
        <v>919</v>
      </c>
      <c r="J188" s="19" t="s">
        <v>106</v>
      </c>
      <c r="K188" s="19" t="s">
        <v>6</v>
      </c>
      <c r="L188" s="19">
        <v>94158</v>
      </c>
      <c r="M188" s="19">
        <v>37.771498000000001</v>
      </c>
      <c r="N188" s="19">
        <v>-122.393777</v>
      </c>
      <c r="O188" s="19" t="s">
        <v>786</v>
      </c>
      <c r="P188" s="19" t="s">
        <v>1414</v>
      </c>
      <c r="Q188" s="19" t="s">
        <v>893</v>
      </c>
      <c r="R188" s="19" t="s">
        <v>106</v>
      </c>
      <c r="S188" s="19" t="s">
        <v>106</v>
      </c>
      <c r="T188" s="19" t="s">
        <v>908</v>
      </c>
      <c r="U188" s="19" t="s">
        <v>820</v>
      </c>
      <c r="V188" s="19" t="s">
        <v>782</v>
      </c>
      <c r="W188" s="20">
        <v>1</v>
      </c>
      <c r="X188" s="39">
        <v>2015</v>
      </c>
      <c r="Y188" s="39">
        <v>2014</v>
      </c>
      <c r="Z188" s="25">
        <v>41730</v>
      </c>
      <c r="AA188" s="19">
        <v>2016</v>
      </c>
      <c r="AB188" s="25">
        <v>42156</v>
      </c>
      <c r="AC188" s="19" t="s">
        <v>804</v>
      </c>
      <c r="AD188" s="19" t="s">
        <v>800</v>
      </c>
      <c r="AE188" s="21">
        <v>0</v>
      </c>
      <c r="AF188" s="19">
        <v>7</v>
      </c>
      <c r="AG188" s="19">
        <v>2</v>
      </c>
      <c r="AH188" s="19"/>
      <c r="AI188" s="19"/>
      <c r="AJ188" s="19"/>
      <c r="AK188" s="19"/>
      <c r="AL188" s="43" t="e">
        <v>#N/A</v>
      </c>
      <c r="AM188" s="19" t="e">
        <v>#N/A</v>
      </c>
      <c r="AN188" s="19" t="e">
        <v>#N/A</v>
      </c>
      <c r="AO188" s="19" t="s">
        <v>1565</v>
      </c>
      <c r="AP188" s="19">
        <v>0</v>
      </c>
      <c r="AQ188" s="26" t="str">
        <f>IFERROR(PropInfo[[#This Row],[Yardi]]*1,PropInfo[[#This Row],[Yardi]])</f>
        <v>583jc</v>
      </c>
    </row>
    <row r="189" spans="1:43" x14ac:dyDescent="0.2">
      <c r="A189" s="43" t="s">
        <v>253</v>
      </c>
      <c r="B189" s="19" t="s">
        <v>859</v>
      </c>
      <c r="C189" s="37">
        <v>190</v>
      </c>
      <c r="D189" s="37">
        <v>134564</v>
      </c>
      <c r="E189" s="19" t="s">
        <v>1369</v>
      </c>
      <c r="F189" s="19" t="s">
        <v>1409</v>
      </c>
      <c r="G189" s="19" t="s">
        <v>781</v>
      </c>
      <c r="H189" s="19" t="s">
        <v>859</v>
      </c>
      <c r="I189" s="19" t="s">
        <v>860</v>
      </c>
      <c r="J189" s="19" t="s">
        <v>69</v>
      </c>
      <c r="K189" s="19" t="s">
        <v>6</v>
      </c>
      <c r="L189" s="19">
        <v>94608</v>
      </c>
      <c r="M189" s="19">
        <v>37.843328999999997</v>
      </c>
      <c r="N189" s="19">
        <v>-122.295541</v>
      </c>
      <c r="O189" s="19" t="s">
        <v>786</v>
      </c>
      <c r="P189" s="19" t="s">
        <v>1414</v>
      </c>
      <c r="Q189" s="19" t="s">
        <v>853</v>
      </c>
      <c r="R189" s="19" t="s">
        <v>854</v>
      </c>
      <c r="S189" s="19" t="s">
        <v>855</v>
      </c>
      <c r="T189" s="19" t="s">
        <v>856</v>
      </c>
      <c r="U189" s="19" t="s">
        <v>779</v>
      </c>
      <c r="V189" s="19" t="s">
        <v>817</v>
      </c>
      <c r="W189" s="20">
        <v>1</v>
      </c>
      <c r="X189" s="39">
        <v>2015</v>
      </c>
      <c r="Y189" s="39">
        <v>2012</v>
      </c>
      <c r="Z189" s="25">
        <v>40422</v>
      </c>
      <c r="AA189" s="19">
        <v>2016</v>
      </c>
      <c r="AB189" s="25">
        <v>42186</v>
      </c>
      <c r="AC189" s="19" t="s">
        <v>783</v>
      </c>
      <c r="AD189" s="19" t="s">
        <v>800</v>
      </c>
      <c r="AE189" s="21">
        <v>0</v>
      </c>
      <c r="AF189" s="19">
        <v>5</v>
      </c>
      <c r="AG189" s="19">
        <v>1</v>
      </c>
      <c r="AH189" s="19" t="s">
        <v>792</v>
      </c>
      <c r="AI189" s="19" t="s">
        <v>1387</v>
      </c>
      <c r="AJ189" s="19">
        <v>29</v>
      </c>
      <c r="AK189" s="19">
        <v>2069</v>
      </c>
      <c r="AL189" s="43" t="s">
        <v>253</v>
      </c>
      <c r="AM189" s="19">
        <v>21</v>
      </c>
      <c r="AN189" s="19" t="s">
        <v>1403</v>
      </c>
      <c r="AO189" s="19" t="s">
        <v>1585</v>
      </c>
      <c r="AP189" s="19">
        <v>35769</v>
      </c>
      <c r="AQ189" s="26">
        <f>IFERROR(PropInfo[[#This Row],[Yardi]]*1,PropInfo[[#This Row],[Yardi]])</f>
        <v>362</v>
      </c>
    </row>
    <row r="190" spans="1:43" x14ac:dyDescent="0.2">
      <c r="A190" s="43" t="s">
        <v>261</v>
      </c>
      <c r="B190" s="19" t="s">
        <v>818</v>
      </c>
      <c r="C190" s="37">
        <v>769</v>
      </c>
      <c r="D190" s="37">
        <v>678841</v>
      </c>
      <c r="E190" s="19" t="s">
        <v>1369</v>
      </c>
      <c r="F190" s="19" t="s">
        <v>1409</v>
      </c>
      <c r="G190" s="19" t="s">
        <v>781</v>
      </c>
      <c r="H190" s="19" t="s">
        <v>818</v>
      </c>
      <c r="I190" s="19" t="s">
        <v>262</v>
      </c>
      <c r="J190" s="19" t="s">
        <v>9</v>
      </c>
      <c r="K190" s="19" t="s">
        <v>6</v>
      </c>
      <c r="L190" s="19">
        <v>95134</v>
      </c>
      <c r="M190" s="19">
        <v>37.399349000000001</v>
      </c>
      <c r="N190" s="19">
        <v>-121.92040299999999</v>
      </c>
      <c r="O190" s="19" t="s">
        <v>786</v>
      </c>
      <c r="P190" s="19" t="s">
        <v>1414</v>
      </c>
      <c r="Q190" s="19" t="s">
        <v>787</v>
      </c>
      <c r="R190" s="19" t="s">
        <v>5</v>
      </c>
      <c r="S190" s="19" t="s">
        <v>797</v>
      </c>
      <c r="T190" s="19" t="s">
        <v>798</v>
      </c>
      <c r="U190" s="19" t="s">
        <v>779</v>
      </c>
      <c r="V190" s="19" t="s">
        <v>817</v>
      </c>
      <c r="W190" s="20">
        <v>1</v>
      </c>
      <c r="X190" s="39">
        <v>2015</v>
      </c>
      <c r="Y190" s="39">
        <v>2011</v>
      </c>
      <c r="Z190" s="25">
        <v>39105</v>
      </c>
      <c r="AA190" s="19">
        <v>2015</v>
      </c>
      <c r="AB190" s="25">
        <v>41852</v>
      </c>
      <c r="AC190" s="19" t="s">
        <v>783</v>
      </c>
      <c r="AD190" s="19" t="s">
        <v>800</v>
      </c>
      <c r="AE190" s="21">
        <v>769</v>
      </c>
      <c r="AF190" s="19">
        <v>5</v>
      </c>
      <c r="AG190" s="19">
        <v>5</v>
      </c>
      <c r="AH190" s="19" t="s">
        <v>792</v>
      </c>
      <c r="AI190" s="19"/>
      <c r="AJ190" s="19"/>
      <c r="AK190" s="19"/>
      <c r="AL190" s="43" t="s">
        <v>261</v>
      </c>
      <c r="AM190" s="19">
        <v>0</v>
      </c>
      <c r="AN190" s="19" t="s">
        <v>1406</v>
      </c>
      <c r="AO190" s="19" t="s">
        <v>1600</v>
      </c>
      <c r="AP190" s="19" t="s">
        <v>1505</v>
      </c>
      <c r="AQ190" s="26">
        <f>IFERROR(PropInfo[[#This Row],[Yardi]]*1,PropInfo[[#This Row],[Yardi]])</f>
        <v>365</v>
      </c>
    </row>
    <row r="191" spans="1:43" x14ac:dyDescent="0.2">
      <c r="A191" s="43" t="s">
        <v>202</v>
      </c>
      <c r="B191" s="19" t="s">
        <v>203</v>
      </c>
      <c r="C191" s="37">
        <v>309</v>
      </c>
      <c r="D191" s="37">
        <v>288047</v>
      </c>
      <c r="E191" s="19" t="s">
        <v>1369</v>
      </c>
      <c r="F191" s="19" t="s">
        <v>1409</v>
      </c>
      <c r="G191" s="19" t="s">
        <v>781</v>
      </c>
      <c r="H191" s="19" t="s">
        <v>203</v>
      </c>
      <c r="I191" s="19" t="s">
        <v>857</v>
      </c>
      <c r="J191" s="19" t="s">
        <v>204</v>
      </c>
      <c r="K191" s="19" t="s">
        <v>6</v>
      </c>
      <c r="L191" s="19">
        <v>94568</v>
      </c>
      <c r="M191" s="19">
        <v>37.701957999999998</v>
      </c>
      <c r="N191" s="19">
        <v>-121.929086</v>
      </c>
      <c r="O191" s="19" t="s">
        <v>786</v>
      </c>
      <c r="P191" s="19" t="s">
        <v>1414</v>
      </c>
      <c r="Q191" s="19" t="s">
        <v>853</v>
      </c>
      <c r="R191" s="19" t="s">
        <v>854</v>
      </c>
      <c r="S191" s="19" t="s">
        <v>87</v>
      </c>
      <c r="T191" s="19" t="s">
        <v>858</v>
      </c>
      <c r="U191" s="19" t="s">
        <v>779</v>
      </c>
      <c r="V191" s="19" t="s">
        <v>817</v>
      </c>
      <c r="W191" s="20">
        <v>1</v>
      </c>
      <c r="X191" s="39">
        <v>2013</v>
      </c>
      <c r="Y191" s="39">
        <v>2011</v>
      </c>
      <c r="Z191" s="25">
        <v>40122</v>
      </c>
      <c r="AA191" s="19">
        <v>2015</v>
      </c>
      <c r="AB191" s="25">
        <v>41730</v>
      </c>
      <c r="AC191" s="19" t="s">
        <v>783</v>
      </c>
      <c r="AD191" s="19" t="s">
        <v>800</v>
      </c>
      <c r="AE191" s="21">
        <v>0</v>
      </c>
      <c r="AF191" s="19">
        <v>5</v>
      </c>
      <c r="AG191" s="19">
        <v>1</v>
      </c>
      <c r="AH191" s="19"/>
      <c r="AI191" s="19"/>
      <c r="AJ191" s="19"/>
      <c r="AK191" s="19"/>
      <c r="AL191" s="43" t="s">
        <v>202</v>
      </c>
      <c r="AM191" s="19">
        <v>0</v>
      </c>
      <c r="AN191" s="19" t="s">
        <v>1406</v>
      </c>
      <c r="AO191" s="19" t="s">
        <v>1586</v>
      </c>
      <c r="AP191" s="19">
        <v>34958</v>
      </c>
      <c r="AQ191" s="26">
        <f>IFERROR(PropInfo[[#This Row],[Yardi]]*1,PropInfo[[#This Row],[Yardi]])</f>
        <v>368</v>
      </c>
    </row>
    <row r="192" spans="1:43" x14ac:dyDescent="0.2">
      <c r="A192" s="43" t="s">
        <v>444</v>
      </c>
      <c r="B192" s="19" t="s">
        <v>445</v>
      </c>
      <c r="C192" s="37">
        <v>197</v>
      </c>
      <c r="D192" s="37">
        <v>133175</v>
      </c>
      <c r="E192" s="19" t="s">
        <v>1369</v>
      </c>
      <c r="F192" s="19" t="s">
        <v>1409</v>
      </c>
      <c r="G192" s="19" t="s">
        <v>781</v>
      </c>
      <c r="H192" s="19" t="s">
        <v>445</v>
      </c>
      <c r="I192" s="19" t="s">
        <v>898</v>
      </c>
      <c r="J192" s="19" t="s">
        <v>345</v>
      </c>
      <c r="K192" s="19" t="s">
        <v>6</v>
      </c>
      <c r="L192" s="19">
        <v>94403</v>
      </c>
      <c r="M192" s="19">
        <v>37.548572999999998</v>
      </c>
      <c r="N192" s="19">
        <v>-122.31341399999999</v>
      </c>
      <c r="O192" s="19" t="s">
        <v>786</v>
      </c>
      <c r="P192" s="19" t="s">
        <v>1414</v>
      </c>
      <c r="Q192" s="19" t="s">
        <v>893</v>
      </c>
      <c r="R192" s="19" t="s">
        <v>345</v>
      </c>
      <c r="S192" s="19" t="s">
        <v>345</v>
      </c>
      <c r="T192" s="19" t="s">
        <v>895</v>
      </c>
      <c r="U192" s="19" t="s">
        <v>779</v>
      </c>
      <c r="V192" s="19" t="s">
        <v>817</v>
      </c>
      <c r="W192" s="20">
        <v>1</v>
      </c>
      <c r="X192" s="39">
        <v>2015</v>
      </c>
      <c r="Y192" s="39">
        <v>2012</v>
      </c>
      <c r="Z192" s="25">
        <v>40921</v>
      </c>
      <c r="AA192" s="19">
        <v>2016</v>
      </c>
      <c r="AB192" s="25">
        <v>42186</v>
      </c>
      <c r="AC192" s="19" t="s">
        <v>783</v>
      </c>
      <c r="AD192" s="19" t="s">
        <v>800</v>
      </c>
      <c r="AE192" s="27">
        <v>0</v>
      </c>
      <c r="AF192" s="19">
        <v>4</v>
      </c>
      <c r="AG192" s="19">
        <v>1</v>
      </c>
      <c r="AH192" s="19"/>
      <c r="AI192" s="19" t="s">
        <v>1375</v>
      </c>
      <c r="AJ192" s="19">
        <v>20</v>
      </c>
      <c r="AK192" s="19" t="s">
        <v>1379</v>
      </c>
      <c r="AL192" s="43" t="s">
        <v>444</v>
      </c>
      <c r="AM192" s="19">
        <v>0</v>
      </c>
      <c r="AN192" s="19" t="s">
        <v>1406</v>
      </c>
      <c r="AO192" s="19" t="s">
        <v>1533</v>
      </c>
      <c r="AP192" s="19">
        <v>36134</v>
      </c>
      <c r="AQ192" s="26">
        <f>IFERROR(PropInfo[[#This Row],[Yardi]]*1,PropInfo[[#This Row],[Yardi]])</f>
        <v>371</v>
      </c>
    </row>
    <row r="193" spans="1:43" x14ac:dyDescent="0.2">
      <c r="A193" s="43" t="s">
        <v>584</v>
      </c>
      <c r="B193" s="19" t="s">
        <v>971</v>
      </c>
      <c r="C193" s="37">
        <v>187</v>
      </c>
      <c r="D193" s="37">
        <v>154820</v>
      </c>
      <c r="E193" s="19" t="s" vm="144">
        <v>1368</v>
      </c>
      <c r="F193" s="19" t="s">
        <v>1409</v>
      </c>
      <c r="G193" s="19" t="s">
        <v>781</v>
      </c>
      <c r="H193" s="19" t="s">
        <v>971</v>
      </c>
      <c r="I193" s="19" t="s">
        <v>972</v>
      </c>
      <c r="J193" s="19" t="s">
        <v>570</v>
      </c>
      <c r="K193" s="19" t="s">
        <v>6</v>
      </c>
      <c r="L193" s="19">
        <v>90038</v>
      </c>
      <c r="M193" s="19">
        <v>34.093249999999998</v>
      </c>
      <c r="N193" s="19">
        <v>-118.34348</v>
      </c>
      <c r="O193" s="19" t="s">
        <v>929</v>
      </c>
      <c r="P193" s="19" t="s">
        <v>1413</v>
      </c>
      <c r="Q193" s="19" t="s">
        <v>930</v>
      </c>
      <c r="R193" s="19" t="s">
        <v>21</v>
      </c>
      <c r="S193" s="19" t="s">
        <v>956</v>
      </c>
      <c r="T193" s="19" t="s">
        <v>354</v>
      </c>
      <c r="U193" s="19" t="s">
        <v>779</v>
      </c>
      <c r="V193" s="19" t="s">
        <v>782</v>
      </c>
      <c r="W193" s="20">
        <v>1</v>
      </c>
      <c r="X193" s="39">
        <v>2014</v>
      </c>
      <c r="Y193" s="39">
        <v>2011</v>
      </c>
      <c r="Z193" s="25">
        <v>40813</v>
      </c>
      <c r="AA193" s="19">
        <v>2017</v>
      </c>
      <c r="AB193" s="25">
        <v>42522</v>
      </c>
      <c r="AC193" s="19" t="s">
        <v>804</v>
      </c>
      <c r="AD193" s="19" t="s">
        <v>800</v>
      </c>
      <c r="AE193" s="27">
        <v>187</v>
      </c>
      <c r="AF193" s="19">
        <v>6</v>
      </c>
      <c r="AG193" s="19">
        <v>1</v>
      </c>
      <c r="AH193" s="19" t="s">
        <v>792</v>
      </c>
      <c r="AI193" s="19" t="s">
        <v>1377</v>
      </c>
      <c r="AJ193" s="19">
        <v>38</v>
      </c>
      <c r="AK193" s="19">
        <v>2066</v>
      </c>
      <c r="AL193" s="43" t="s">
        <v>584</v>
      </c>
      <c r="AM193" s="19">
        <v>0</v>
      </c>
      <c r="AN193" s="19" t="s">
        <v>1406</v>
      </c>
      <c r="AO193" s="19" t="s">
        <v>1360</v>
      </c>
      <c r="AP193" s="19">
        <v>38264</v>
      </c>
      <c r="AQ193" s="26">
        <f>IFERROR(PropInfo[[#This Row],[Yardi]]*1,PropInfo[[#This Row],[Yardi]])</f>
        <v>380</v>
      </c>
    </row>
    <row r="194" spans="1:43" x14ac:dyDescent="0.2">
      <c r="A194" s="43" t="s">
        <v>569</v>
      </c>
      <c r="B194" s="19" t="s">
        <v>973</v>
      </c>
      <c r="C194" s="37">
        <v>184</v>
      </c>
      <c r="D194" s="37">
        <v>150988</v>
      </c>
      <c r="E194" s="19" t="s" vm="216">
        <v>1368</v>
      </c>
      <c r="F194" s="19" t="s">
        <v>1409</v>
      </c>
      <c r="G194" s="19" t="s">
        <v>781</v>
      </c>
      <c r="H194" s="19" t="s">
        <v>973</v>
      </c>
      <c r="I194" s="19" t="s">
        <v>974</v>
      </c>
      <c r="J194" s="19" t="s">
        <v>570</v>
      </c>
      <c r="K194" s="19" t="s">
        <v>6</v>
      </c>
      <c r="L194" s="19">
        <v>90046</v>
      </c>
      <c r="M194" s="19">
        <v>34.090691</v>
      </c>
      <c r="N194" s="19">
        <v>-118.34410099999999</v>
      </c>
      <c r="O194" s="19" t="s">
        <v>929</v>
      </c>
      <c r="P194" s="19" t="s">
        <v>1413</v>
      </c>
      <c r="Q194" s="19" t="s">
        <v>930</v>
      </c>
      <c r="R194" s="19" t="s">
        <v>21</v>
      </c>
      <c r="S194" s="19" t="s">
        <v>956</v>
      </c>
      <c r="T194" s="19" t="s">
        <v>354</v>
      </c>
      <c r="U194" s="19" t="s">
        <v>779</v>
      </c>
      <c r="V194" s="19" t="s">
        <v>782</v>
      </c>
      <c r="W194" s="20">
        <v>1</v>
      </c>
      <c r="X194" s="39">
        <v>2014</v>
      </c>
      <c r="Y194" s="39">
        <v>2011</v>
      </c>
      <c r="Z194" s="25">
        <v>40884</v>
      </c>
      <c r="AA194" s="19">
        <v>2016</v>
      </c>
      <c r="AB194" s="25">
        <v>42125</v>
      </c>
      <c r="AC194" s="19" t="s">
        <v>804</v>
      </c>
      <c r="AD194" s="19" t="s">
        <v>800</v>
      </c>
      <c r="AE194" s="27">
        <v>184</v>
      </c>
      <c r="AF194" s="19">
        <v>6</v>
      </c>
      <c r="AG194" s="19">
        <v>1</v>
      </c>
      <c r="AH194" s="19" t="s">
        <v>792</v>
      </c>
      <c r="AI194" s="19" t="s">
        <v>1377</v>
      </c>
      <c r="AJ194" s="19">
        <v>37</v>
      </c>
      <c r="AK194" s="19">
        <v>2066</v>
      </c>
      <c r="AL194" s="43" t="s">
        <v>569</v>
      </c>
      <c r="AM194" s="19">
        <v>0</v>
      </c>
      <c r="AN194" s="19" t="s">
        <v>1406</v>
      </c>
      <c r="AO194" s="19" t="s">
        <v>1360</v>
      </c>
      <c r="AP194" s="19">
        <v>44615</v>
      </c>
      <c r="AQ194" s="26">
        <f>IFERROR(PropInfo[[#This Row],[Yardi]]*1,PropInfo[[#This Row],[Yardi]])</f>
        <v>381</v>
      </c>
    </row>
    <row r="195" spans="1:43" x14ac:dyDescent="0.2">
      <c r="A195" s="43" t="s">
        <v>28</v>
      </c>
      <c r="B195" s="19" t="s">
        <v>29</v>
      </c>
      <c r="C195" s="37">
        <v>49</v>
      </c>
      <c r="D195" s="37">
        <v>71997</v>
      </c>
      <c r="E195" s="19" t="s">
        <v>1369</v>
      </c>
      <c r="F195" s="19" t="s">
        <v>1409</v>
      </c>
      <c r="G195" s="19" t="s">
        <v>781</v>
      </c>
      <c r="H195" s="19" t="s">
        <v>29</v>
      </c>
      <c r="I195" s="19" t="s">
        <v>643</v>
      </c>
      <c r="J195" s="19" t="s">
        <v>30</v>
      </c>
      <c r="K195" s="19" t="s">
        <v>6</v>
      </c>
      <c r="L195" s="19">
        <v>94596</v>
      </c>
      <c r="M195" s="19">
        <v>37.893244000000003</v>
      </c>
      <c r="N195" s="19">
        <v>-122.05883799999999</v>
      </c>
      <c r="O195" s="19" t="s">
        <v>786</v>
      </c>
      <c r="P195" s="19" t="s">
        <v>1414</v>
      </c>
      <c r="Q195" s="19" t="s">
        <v>853</v>
      </c>
      <c r="R195" s="19" t="s">
        <v>881</v>
      </c>
      <c r="S195" s="19" t="s">
        <v>87</v>
      </c>
      <c r="T195" s="19" t="s">
        <v>882</v>
      </c>
      <c r="U195" s="19" t="s">
        <v>779</v>
      </c>
      <c r="V195" s="19" t="s">
        <v>817</v>
      </c>
      <c r="W195" s="20">
        <v>0.96</v>
      </c>
      <c r="X195" s="39">
        <v>2016</v>
      </c>
      <c r="Y195" s="39">
        <v>2013</v>
      </c>
      <c r="Z195" s="25">
        <v>39434</v>
      </c>
      <c r="AA195" s="19">
        <v>2017</v>
      </c>
      <c r="AB195" s="25">
        <v>42644</v>
      </c>
      <c r="AC195" s="19" t="s">
        <v>804</v>
      </c>
      <c r="AD195" s="19" t="s">
        <v>800</v>
      </c>
      <c r="AE195" s="21">
        <v>49</v>
      </c>
      <c r="AF195" s="19">
        <v>4</v>
      </c>
      <c r="AG195" s="19">
        <v>2</v>
      </c>
      <c r="AH195" s="19"/>
      <c r="AI195" s="19"/>
      <c r="AJ195" s="19"/>
      <c r="AK195" s="19"/>
      <c r="AL195" s="43" t="s">
        <v>28</v>
      </c>
      <c r="AM195" s="19">
        <v>19</v>
      </c>
      <c r="AN195" s="19" t="s">
        <v>1403</v>
      </c>
      <c r="AO195" s="19" t="s">
        <v>1569</v>
      </c>
      <c r="AP195" s="19">
        <v>34817</v>
      </c>
      <c r="AQ195" s="26">
        <f>IFERROR(PropInfo[[#This Row],[Yardi]]*1,PropInfo[[#This Row],[Yardi]])</f>
        <v>382</v>
      </c>
    </row>
    <row r="196" spans="1:43" x14ac:dyDescent="0.2">
      <c r="A196" s="43" t="s">
        <v>325</v>
      </c>
      <c r="B196" s="19" t="s">
        <v>326</v>
      </c>
      <c r="C196" s="37">
        <v>264</v>
      </c>
      <c r="D196" s="37">
        <v>229030</v>
      </c>
      <c r="E196" s="19" t="s" vm="80">
        <v>799</v>
      </c>
      <c r="F196" s="19" t="s">
        <v>1409</v>
      </c>
      <c r="G196" s="19" t="s">
        <v>781</v>
      </c>
      <c r="H196" s="19" t="s">
        <v>326</v>
      </c>
      <c r="I196" s="19" t="s">
        <v>327</v>
      </c>
      <c r="J196" s="19" t="s">
        <v>160</v>
      </c>
      <c r="K196" s="19" t="s">
        <v>6</v>
      </c>
      <c r="L196" s="19">
        <v>92831</v>
      </c>
      <c r="M196" s="19">
        <v>33.889052999999997</v>
      </c>
      <c r="N196" s="19">
        <v>-117.87133</v>
      </c>
      <c r="O196" s="19" t="s">
        <v>929</v>
      </c>
      <c r="P196" s="19" t="s">
        <v>1415</v>
      </c>
      <c r="Q196" s="19" t="s">
        <v>1017</v>
      </c>
      <c r="R196" s="19" t="s">
        <v>510</v>
      </c>
      <c r="S196" s="19" t="s">
        <v>1018</v>
      </c>
      <c r="T196" s="19" t="s">
        <v>160</v>
      </c>
      <c r="U196" s="19" t="s">
        <v>790</v>
      </c>
      <c r="V196" s="19" t="s">
        <v>799</v>
      </c>
      <c r="W196" s="20">
        <v>0.5</v>
      </c>
      <c r="X196" s="39">
        <v>1973</v>
      </c>
      <c r="Y196" s="39">
        <v>2012</v>
      </c>
      <c r="Z196" s="25">
        <v>41240</v>
      </c>
      <c r="AA196" s="19">
        <v>2014</v>
      </c>
      <c r="AB196" s="25">
        <v>41518</v>
      </c>
      <c r="AC196" s="19" t="s">
        <v>783</v>
      </c>
      <c r="AD196" s="19" t="s">
        <v>784</v>
      </c>
      <c r="AE196" s="21">
        <v>0</v>
      </c>
      <c r="AF196" s="19">
        <v>3</v>
      </c>
      <c r="AG196" s="19">
        <v>3</v>
      </c>
      <c r="AH196" s="19" t="s">
        <v>785</v>
      </c>
      <c r="AI196" s="19"/>
      <c r="AJ196" s="19"/>
      <c r="AK196" s="19"/>
      <c r="AL196" s="43" t="s">
        <v>325</v>
      </c>
      <c r="AM196" s="19">
        <v>0</v>
      </c>
      <c r="AN196" s="19" t="s">
        <v>1406</v>
      </c>
      <c r="AO196" s="19" t="s">
        <v>1359</v>
      </c>
      <c r="AP196" s="19">
        <v>14084</v>
      </c>
      <c r="AQ196" s="26">
        <f>IFERROR(PropInfo[[#This Row],[Yardi]]*1,PropInfo[[#This Row],[Yardi]])</f>
        <v>386</v>
      </c>
    </row>
    <row r="197" spans="1:43" x14ac:dyDescent="0.2">
      <c r="A197" s="43" t="s">
        <v>501</v>
      </c>
      <c r="B197" s="19" t="s">
        <v>502</v>
      </c>
      <c r="C197" s="37">
        <v>142</v>
      </c>
      <c r="D197" s="37">
        <v>130401</v>
      </c>
      <c r="E197" s="19" t="s" vm="145">
        <v>799</v>
      </c>
      <c r="F197" s="19" t="s">
        <v>1409</v>
      </c>
      <c r="G197" s="19" t="s">
        <v>781</v>
      </c>
      <c r="H197" s="19" t="s">
        <v>502</v>
      </c>
      <c r="I197" s="19" t="s">
        <v>503</v>
      </c>
      <c r="J197" s="19" t="s">
        <v>504</v>
      </c>
      <c r="K197" s="19" t="s">
        <v>6</v>
      </c>
      <c r="L197" s="19">
        <v>94040</v>
      </c>
      <c r="M197" s="19">
        <v>37.397461</v>
      </c>
      <c r="N197" s="19">
        <v>-122.092598</v>
      </c>
      <c r="O197" s="19" t="s">
        <v>786</v>
      </c>
      <c r="P197" s="19" t="s">
        <v>1414</v>
      </c>
      <c r="Q197" s="19" t="s">
        <v>787</v>
      </c>
      <c r="R197" s="19" t="s">
        <v>5</v>
      </c>
      <c r="S197" s="19" t="s">
        <v>788</v>
      </c>
      <c r="T197" s="19" t="s">
        <v>801</v>
      </c>
      <c r="U197" s="19" t="s">
        <v>790</v>
      </c>
      <c r="V197" s="19" t="s">
        <v>799</v>
      </c>
      <c r="W197" s="20">
        <v>0.5</v>
      </c>
      <c r="X197" s="39">
        <v>1970</v>
      </c>
      <c r="Y197" s="39">
        <v>2013</v>
      </c>
      <c r="Z197" s="25">
        <v>41425</v>
      </c>
      <c r="AA197" s="19">
        <v>2015</v>
      </c>
      <c r="AB197" s="25">
        <v>41699</v>
      </c>
      <c r="AC197" s="19" t="s">
        <v>783</v>
      </c>
      <c r="AD197" s="19" t="s">
        <v>800</v>
      </c>
      <c r="AE197" s="21">
        <v>0</v>
      </c>
      <c r="AF197" s="19">
        <v>4</v>
      </c>
      <c r="AG197" s="19">
        <v>2</v>
      </c>
      <c r="AH197" s="19" t="s">
        <v>785</v>
      </c>
      <c r="AI197" s="19" t="s">
        <v>1384</v>
      </c>
      <c r="AJ197" s="19">
        <v>142</v>
      </c>
      <c r="AK197" s="19" t="s">
        <v>1379</v>
      </c>
      <c r="AL197" s="43" t="s">
        <v>501</v>
      </c>
      <c r="AM197" s="19">
        <v>0</v>
      </c>
      <c r="AN197" s="19" t="s">
        <v>1406</v>
      </c>
      <c r="AO197" s="19" t="s">
        <v>1531</v>
      </c>
      <c r="AP197" s="19">
        <v>56812</v>
      </c>
      <c r="AQ197" s="26">
        <f>IFERROR(PropInfo[[#This Row],[Yardi]]*1,PropInfo[[#This Row],[Yardi]])</f>
        <v>387</v>
      </c>
    </row>
    <row r="198" spans="1:43" x14ac:dyDescent="0.2">
      <c r="A198" s="43" t="s">
        <v>318</v>
      </c>
      <c r="B198" s="19" t="s">
        <v>947</v>
      </c>
      <c r="C198" s="37">
        <v>251</v>
      </c>
      <c r="D198" s="37">
        <v>226630</v>
      </c>
      <c r="E198" s="19" t="s" vm="217">
        <v>799</v>
      </c>
      <c r="F198" s="19" t="s">
        <v>1409</v>
      </c>
      <c r="G198" s="19" t="s">
        <v>781</v>
      </c>
      <c r="H198" s="19" t="s">
        <v>947</v>
      </c>
      <c r="I198" s="19" t="s">
        <v>948</v>
      </c>
      <c r="J198" s="19" t="s">
        <v>21</v>
      </c>
      <c r="K198" s="19" t="s">
        <v>6</v>
      </c>
      <c r="L198" s="19">
        <v>90017</v>
      </c>
      <c r="M198" s="19">
        <v>34.046863999999999</v>
      </c>
      <c r="N198" s="19">
        <v>-118.260391</v>
      </c>
      <c r="O198" s="19" t="s">
        <v>929</v>
      </c>
      <c r="P198" s="19" t="s">
        <v>1413</v>
      </c>
      <c r="Q198" s="19" t="s">
        <v>930</v>
      </c>
      <c r="R198" s="19" t="s">
        <v>21</v>
      </c>
      <c r="S198" s="19" t="s">
        <v>944</v>
      </c>
      <c r="T198" s="19" t="s">
        <v>945</v>
      </c>
      <c r="U198" s="19" t="s">
        <v>790</v>
      </c>
      <c r="V198" s="19" t="s">
        <v>799</v>
      </c>
      <c r="W198" s="20">
        <v>0.5</v>
      </c>
      <c r="X198" s="39">
        <v>2004</v>
      </c>
      <c r="Y198" s="39">
        <v>2013</v>
      </c>
      <c r="Z198" s="25">
        <v>41453</v>
      </c>
      <c r="AA198" s="19">
        <v>2014</v>
      </c>
      <c r="AB198" s="25">
        <v>41609</v>
      </c>
      <c r="AC198" s="19" t="s">
        <v>804</v>
      </c>
      <c r="AD198" s="19" t="s">
        <v>808</v>
      </c>
      <c r="AE198" s="21">
        <v>0</v>
      </c>
      <c r="AF198" s="19">
        <v>13</v>
      </c>
      <c r="AG198" s="19">
        <v>3</v>
      </c>
      <c r="AH198" s="19" t="s">
        <v>792</v>
      </c>
      <c r="AI198" s="19" t="s">
        <v>1386</v>
      </c>
      <c r="AJ198" s="19">
        <v>53</v>
      </c>
      <c r="AK198" s="19">
        <v>2061</v>
      </c>
      <c r="AL198" s="43" t="s">
        <v>318</v>
      </c>
      <c r="AM198" s="19">
        <v>5</v>
      </c>
      <c r="AN198" s="19" t="s">
        <v>1403</v>
      </c>
      <c r="AO198" s="19" t="s">
        <v>1528</v>
      </c>
      <c r="AP198" s="19">
        <v>20148</v>
      </c>
      <c r="AQ198" s="26">
        <f>IFERROR(PropInfo[[#This Row],[Yardi]]*1,PropInfo[[#This Row],[Yardi]])</f>
        <v>388</v>
      </c>
    </row>
    <row r="199" spans="1:43" x14ac:dyDescent="0.2">
      <c r="A199" s="46" t="s">
        <v>709</v>
      </c>
      <c r="B199" s="30" t="s">
        <v>1541</v>
      </c>
      <c r="C199" s="37">
        <v>474</v>
      </c>
      <c r="D199" s="38"/>
      <c r="E199" s="31" t="s">
        <v>1369</v>
      </c>
      <c r="F199" s="31" t="s">
        <v>1410</v>
      </c>
      <c r="G199" s="30" t="s">
        <v>781</v>
      </c>
      <c r="H199" s="19" t="s">
        <v>1541</v>
      </c>
      <c r="I199" s="32" t="s">
        <v>1542</v>
      </c>
      <c r="J199" s="32" t="s">
        <v>5</v>
      </c>
      <c r="K199" s="32" t="s">
        <v>6</v>
      </c>
      <c r="L199" s="19">
        <v>95051</v>
      </c>
      <c r="M199" s="19">
        <v>37.352020000000003</v>
      </c>
      <c r="N199" s="19">
        <v>-121.9978</v>
      </c>
      <c r="O199" s="30" t="s">
        <v>786</v>
      </c>
      <c r="P199" s="31" t="s">
        <v>1414</v>
      </c>
      <c r="Q199" s="19" t="s">
        <v>787</v>
      </c>
      <c r="R199" s="30" t="s">
        <v>5</v>
      </c>
      <c r="S199" s="19" t="s">
        <v>788</v>
      </c>
      <c r="T199" s="30"/>
      <c r="U199" s="30" t="s">
        <v>779</v>
      </c>
      <c r="V199" s="30"/>
      <c r="W199" s="33"/>
      <c r="X199" s="39">
        <v>2019</v>
      </c>
      <c r="Y199" s="31"/>
      <c r="Z199" s="34"/>
      <c r="AA199" s="31"/>
      <c r="AB199" s="34"/>
      <c r="AC199" s="30" t="s">
        <v>783</v>
      </c>
      <c r="AD199" s="30" t="s">
        <v>796</v>
      </c>
      <c r="AE199" s="35">
        <f>+PropInfo[[#This Row],[Units]]</f>
        <v>474</v>
      </c>
      <c r="AF199" s="30"/>
      <c r="AG199" s="30"/>
      <c r="AH199" s="30"/>
      <c r="AI199" s="30"/>
      <c r="AJ199" s="30"/>
      <c r="AK199" s="30"/>
      <c r="AL199" s="44" t="s">
        <v>709</v>
      </c>
      <c r="AM199" s="31"/>
      <c r="AN199" s="19"/>
      <c r="AO199" s="19" t="s">
        <v>1527</v>
      </c>
      <c r="AP199" s="31"/>
      <c r="AQ199" s="26">
        <f>IFERROR(PropInfo[[#This Row],[Yardi]]*1,PropInfo[[#This Row],[Yardi]])</f>
        <v>390</v>
      </c>
    </row>
    <row r="200" spans="1:43" x14ac:dyDescent="0.2">
      <c r="A200" s="43" t="s">
        <v>505</v>
      </c>
      <c r="B200" s="19" t="s">
        <v>506</v>
      </c>
      <c r="C200" s="37">
        <v>116</v>
      </c>
      <c r="D200" s="37">
        <v>54844</v>
      </c>
      <c r="E200" s="19" t="s" vm="229">
        <v>799</v>
      </c>
      <c r="F200" s="19" t="s">
        <v>1409</v>
      </c>
      <c r="G200" s="19" t="s">
        <v>781</v>
      </c>
      <c r="H200" s="19" t="s">
        <v>506</v>
      </c>
      <c r="I200" s="19" t="s">
        <v>966</v>
      </c>
      <c r="J200" s="19" t="s">
        <v>21</v>
      </c>
      <c r="K200" s="19" t="s">
        <v>6</v>
      </c>
      <c r="L200" s="19">
        <v>90019</v>
      </c>
      <c r="M200" s="19">
        <v>34.055174999999998</v>
      </c>
      <c r="N200" s="19">
        <v>-118.313744</v>
      </c>
      <c r="O200" s="19" t="s">
        <v>929</v>
      </c>
      <c r="P200" s="19" t="s">
        <v>1413</v>
      </c>
      <c r="Q200" s="19" t="s">
        <v>930</v>
      </c>
      <c r="R200" s="19" t="s">
        <v>21</v>
      </c>
      <c r="S200" s="19" t="s">
        <v>956</v>
      </c>
      <c r="T200" s="19" t="s">
        <v>960</v>
      </c>
      <c r="U200" s="19" t="s">
        <v>820</v>
      </c>
      <c r="V200" s="19" t="s">
        <v>799</v>
      </c>
      <c r="W200" s="20">
        <v>0.5</v>
      </c>
      <c r="X200" s="39">
        <v>1987</v>
      </c>
      <c r="Y200" s="39">
        <v>2014</v>
      </c>
      <c r="Z200" s="25">
        <v>41730</v>
      </c>
      <c r="AA200" s="19">
        <v>2005</v>
      </c>
      <c r="AB200" s="25">
        <v>38047</v>
      </c>
      <c r="AC200" s="19" t="s">
        <v>783</v>
      </c>
      <c r="AD200" s="19" t="s">
        <v>800</v>
      </c>
      <c r="AE200" s="21">
        <v>0</v>
      </c>
      <c r="AF200" s="19">
        <v>4</v>
      </c>
      <c r="AG200" s="19">
        <v>1</v>
      </c>
      <c r="AH200" s="19" t="s">
        <v>870</v>
      </c>
      <c r="AI200" s="19"/>
      <c r="AJ200" s="19"/>
      <c r="AK200" s="19"/>
      <c r="AL200" s="43" t="s">
        <v>720</v>
      </c>
      <c r="AM200" s="19">
        <v>9</v>
      </c>
      <c r="AN200" s="19" t="s">
        <v>1403</v>
      </c>
      <c r="AO200" s="19" t="s">
        <v>1528</v>
      </c>
      <c r="AP200" s="19">
        <v>15471</v>
      </c>
      <c r="AQ200" s="26" t="str">
        <f>IFERROR(PropInfo[[#This Row],[Yardi]]*1,PropInfo[[#This Row],[Yardi]])</f>
        <v>lax1239</v>
      </c>
    </row>
    <row r="201" spans="1:43" x14ac:dyDescent="0.2">
      <c r="A201" s="43" t="s">
        <v>661</v>
      </c>
      <c r="B201" s="19" t="s">
        <v>662</v>
      </c>
      <c r="C201" s="37">
        <v>95</v>
      </c>
      <c r="D201" s="37">
        <v>51266</v>
      </c>
      <c r="E201" s="19" t="s" vm="111">
        <v>799</v>
      </c>
      <c r="F201" s="19" t="s">
        <v>1409</v>
      </c>
      <c r="G201" s="19" t="s">
        <v>781</v>
      </c>
      <c r="H201" s="19" t="s">
        <v>662</v>
      </c>
      <c r="I201" s="19" t="s">
        <v>967</v>
      </c>
      <c r="J201" s="19" t="s">
        <v>21</v>
      </c>
      <c r="K201" s="19" t="s">
        <v>6</v>
      </c>
      <c r="L201" s="19">
        <v>90006</v>
      </c>
      <c r="M201" s="19">
        <v>34.054772399999997</v>
      </c>
      <c r="N201" s="19">
        <v>-118.3006321</v>
      </c>
      <c r="O201" s="19" t="s">
        <v>929</v>
      </c>
      <c r="P201" s="19" t="s">
        <v>1413</v>
      </c>
      <c r="Q201" s="19" t="s">
        <v>930</v>
      </c>
      <c r="R201" s="19" t="s">
        <v>21</v>
      </c>
      <c r="S201" s="19" t="s">
        <v>956</v>
      </c>
      <c r="T201" s="19" t="s">
        <v>960</v>
      </c>
      <c r="U201" s="19" t="s">
        <v>820</v>
      </c>
      <c r="V201" s="19" t="s">
        <v>799</v>
      </c>
      <c r="W201" s="20">
        <v>0.5</v>
      </c>
      <c r="X201" s="39">
        <v>1987</v>
      </c>
      <c r="Y201" s="39">
        <v>2014</v>
      </c>
      <c r="Z201" s="25">
        <v>41730</v>
      </c>
      <c r="AA201" s="19">
        <v>2005</v>
      </c>
      <c r="AB201" s="25">
        <v>38047</v>
      </c>
      <c r="AC201" s="19" t="s">
        <v>783</v>
      </c>
      <c r="AD201" s="19" t="s">
        <v>800</v>
      </c>
      <c r="AE201" s="21">
        <v>0</v>
      </c>
      <c r="AF201" s="19">
        <v>4</v>
      </c>
      <c r="AG201" s="19">
        <v>1</v>
      </c>
      <c r="AH201" s="19" t="s">
        <v>870</v>
      </c>
      <c r="AI201" s="19"/>
      <c r="AJ201" s="19"/>
      <c r="AK201" s="19"/>
      <c r="AL201" s="43" t="s">
        <v>760</v>
      </c>
      <c r="AM201" s="19">
        <v>9</v>
      </c>
      <c r="AN201" s="19" t="s">
        <v>1403</v>
      </c>
      <c r="AO201" s="19" t="s">
        <v>1528</v>
      </c>
      <c r="AP201" s="19">
        <v>15472</v>
      </c>
      <c r="AQ201" s="26" t="str">
        <f>IFERROR(PropInfo[[#This Row],[Yardi]]*1,PropInfo[[#This Row],[Yardi]])</f>
        <v>lax1240</v>
      </c>
    </row>
    <row r="202" spans="1:43" x14ac:dyDescent="0.2">
      <c r="A202" s="46" t="s">
        <v>1563</v>
      </c>
      <c r="B202" s="30" t="s">
        <v>1562</v>
      </c>
      <c r="C202" s="30">
        <v>132</v>
      </c>
      <c r="D202" s="38"/>
      <c r="E202" s="31" t="s">
        <v>1369</v>
      </c>
      <c r="F202" s="31" t="s">
        <v>1409</v>
      </c>
      <c r="G202" s="30" t="s">
        <v>781</v>
      </c>
      <c r="H202" s="19" t="s">
        <v>1562</v>
      </c>
      <c r="I202" s="32"/>
      <c r="J202" s="32" t="s">
        <v>492</v>
      </c>
      <c r="K202" s="32" t="s">
        <v>6</v>
      </c>
      <c r="L202" s="32"/>
      <c r="M202" s="31">
        <v>37.49174</v>
      </c>
      <c r="N202" s="31">
        <v>-122.2273</v>
      </c>
      <c r="O202" s="30" t="s">
        <v>786</v>
      </c>
      <c r="P202" s="31" t="s">
        <v>1414</v>
      </c>
      <c r="Q202" s="30" t="s">
        <v>893</v>
      </c>
      <c r="R202" s="30" t="s">
        <v>345</v>
      </c>
      <c r="S202" s="30" t="s">
        <v>345</v>
      </c>
      <c r="T202" s="30"/>
      <c r="U202" s="30" t="s">
        <v>790</v>
      </c>
      <c r="V202" s="30"/>
      <c r="W202" s="33"/>
      <c r="X202" s="31">
        <v>2014</v>
      </c>
      <c r="Y202" s="31">
        <v>2019</v>
      </c>
      <c r="Z202" s="34">
        <v>43720</v>
      </c>
      <c r="AA202" s="31">
        <v>2020</v>
      </c>
      <c r="AB202" s="34">
        <v>43720</v>
      </c>
      <c r="AC202" s="30" t="s">
        <v>783</v>
      </c>
      <c r="AD202" s="30" t="s">
        <v>800</v>
      </c>
      <c r="AE202" s="35"/>
      <c r="AF202" s="30"/>
      <c r="AG202" s="30"/>
      <c r="AH202" s="30"/>
      <c r="AI202" s="30" t="s">
        <v>1564</v>
      </c>
      <c r="AJ202" s="30">
        <v>17</v>
      </c>
      <c r="AK202" s="30"/>
      <c r="AL202" s="44" t="s">
        <v>1563</v>
      </c>
      <c r="AM202" s="31"/>
      <c r="AN202" s="31"/>
      <c r="AO202" s="19" t="s">
        <v>1531</v>
      </c>
      <c r="AP202" s="31">
        <v>42659</v>
      </c>
      <c r="AQ202" s="26">
        <f>IFERROR(PropInfo[[#This Row],[Yardi]]*1,PropInfo[[#This Row],[Yardi]])</f>
        <v>393</v>
      </c>
    </row>
    <row r="203" spans="1:43" x14ac:dyDescent="0.2">
      <c r="A203" s="43" t="s">
        <v>573</v>
      </c>
      <c r="B203" s="19" t="s">
        <v>989</v>
      </c>
      <c r="C203" s="37">
        <v>234</v>
      </c>
      <c r="D203" s="37">
        <v>223330</v>
      </c>
      <c r="E203" s="19" t="s" vm="147">
        <v>866</v>
      </c>
      <c r="F203" s="19" t="s">
        <v>1409</v>
      </c>
      <c r="G203" s="19" t="s">
        <v>781</v>
      </c>
      <c r="H203" s="19" t="s">
        <v>989</v>
      </c>
      <c r="I203" s="19" t="s">
        <v>574</v>
      </c>
      <c r="J203" s="19" t="s">
        <v>575</v>
      </c>
      <c r="K203" s="19" t="s">
        <v>6</v>
      </c>
      <c r="L203" s="19">
        <v>91381</v>
      </c>
      <c r="M203" s="19">
        <v>34.411337000000003</v>
      </c>
      <c r="N203" s="19">
        <v>-118.58008</v>
      </c>
      <c r="O203" s="19" t="s">
        <v>929</v>
      </c>
      <c r="P203" s="19" t="s">
        <v>1413</v>
      </c>
      <c r="Q203" s="19" t="s">
        <v>930</v>
      </c>
      <c r="R203" s="19" t="s">
        <v>21</v>
      </c>
      <c r="S203" s="19" t="s">
        <v>1234</v>
      </c>
      <c r="T203" s="19" t="s">
        <v>988</v>
      </c>
      <c r="U203" s="19" t="s">
        <v>820</v>
      </c>
      <c r="V203" s="19" t="s">
        <v>866</v>
      </c>
      <c r="W203" s="20">
        <v>0.5</v>
      </c>
      <c r="X203" s="39">
        <v>2004</v>
      </c>
      <c r="Y203" s="39">
        <v>2014</v>
      </c>
      <c r="Z203" s="25">
        <v>41730</v>
      </c>
      <c r="AA203" s="19">
        <v>2010</v>
      </c>
      <c r="AB203" s="25">
        <v>40087</v>
      </c>
      <c r="AC203" s="19" t="s">
        <v>783</v>
      </c>
      <c r="AD203" s="19" t="s">
        <v>784</v>
      </c>
      <c r="AE203" s="21">
        <v>0</v>
      </c>
      <c r="AF203" s="19">
        <v>3</v>
      </c>
      <c r="AG203" s="19">
        <v>12</v>
      </c>
      <c r="AH203" s="19" t="s">
        <v>785</v>
      </c>
      <c r="AI203" s="19"/>
      <c r="AJ203" s="19"/>
      <c r="AK203" s="19"/>
      <c r="AL203" s="43" t="s">
        <v>759</v>
      </c>
      <c r="AM203" s="19">
        <v>6</v>
      </c>
      <c r="AN203" s="19" t="s">
        <v>1403</v>
      </c>
      <c r="AO203" s="19" t="s">
        <v>1363</v>
      </c>
      <c r="AP203" s="19">
        <v>14484</v>
      </c>
      <c r="AQ203" s="26" t="str">
        <f>IFERROR(PropInfo[[#This Row],[Yardi]]*1,PropInfo[[#This Row],[Yardi]])</f>
        <v>lax1217</v>
      </c>
    </row>
    <row r="204" spans="1:43" x14ac:dyDescent="0.2">
      <c r="A204" s="43" t="s">
        <v>129</v>
      </c>
      <c r="B204" s="19" t="s">
        <v>130</v>
      </c>
      <c r="C204" s="37">
        <v>188</v>
      </c>
      <c r="D204" s="37">
        <v>168198</v>
      </c>
      <c r="E204" s="19" t="s" vm="148">
        <v>866</v>
      </c>
      <c r="F204" s="19" t="s">
        <v>1409</v>
      </c>
      <c r="G204" s="19" t="s">
        <v>781</v>
      </c>
      <c r="H204" s="19" t="s">
        <v>130</v>
      </c>
      <c r="I204" s="19" t="s">
        <v>131</v>
      </c>
      <c r="J204" s="19" t="s">
        <v>132</v>
      </c>
      <c r="K204" s="19" t="s">
        <v>6</v>
      </c>
      <c r="L204" s="19">
        <v>91355</v>
      </c>
      <c r="M204" s="19">
        <v>34.431838599999999</v>
      </c>
      <c r="N204" s="19">
        <v>-118.55799260000001</v>
      </c>
      <c r="O204" s="19" t="s">
        <v>929</v>
      </c>
      <c r="P204" s="19" t="s">
        <v>1413</v>
      </c>
      <c r="Q204" s="19" t="s">
        <v>930</v>
      </c>
      <c r="R204" s="19" t="s">
        <v>21</v>
      </c>
      <c r="S204" s="19" t="s">
        <v>1234</v>
      </c>
      <c r="T204" s="19" t="s">
        <v>988</v>
      </c>
      <c r="U204" s="19" t="s">
        <v>820</v>
      </c>
      <c r="V204" s="19" t="s">
        <v>866</v>
      </c>
      <c r="W204" s="20">
        <v>0.5</v>
      </c>
      <c r="X204" s="39">
        <v>2006</v>
      </c>
      <c r="Y204" s="39">
        <v>2014</v>
      </c>
      <c r="Z204" s="25">
        <v>41730</v>
      </c>
      <c r="AA204" s="19">
        <v>2010</v>
      </c>
      <c r="AB204" s="25">
        <v>40057</v>
      </c>
      <c r="AC204" s="19" t="s">
        <v>783</v>
      </c>
      <c r="AD204" s="19" t="s">
        <v>784</v>
      </c>
      <c r="AE204" s="21">
        <v>0</v>
      </c>
      <c r="AF204" s="19">
        <v>3</v>
      </c>
      <c r="AG204" s="19">
        <v>11</v>
      </c>
      <c r="AH204" s="19" t="s">
        <v>785</v>
      </c>
      <c r="AI204" s="19"/>
      <c r="AJ204" s="19"/>
      <c r="AK204" s="19"/>
      <c r="AL204" s="43" t="s">
        <v>766</v>
      </c>
      <c r="AM204" s="19">
        <v>6</v>
      </c>
      <c r="AN204" s="19" t="s">
        <v>1403</v>
      </c>
      <c r="AO204" s="19" t="s">
        <v>1363</v>
      </c>
      <c r="AP204" s="19">
        <v>16743</v>
      </c>
      <c r="AQ204" s="26" t="str">
        <f>IFERROR(PropInfo[[#This Row],[Yardi]]*1,PropInfo[[#This Row],[Yardi]])</f>
        <v>lax1233</v>
      </c>
    </row>
    <row r="205" spans="1:43" x14ac:dyDescent="0.2">
      <c r="A205" s="43" t="s">
        <v>594</v>
      </c>
      <c r="B205" s="19" t="s">
        <v>990</v>
      </c>
      <c r="C205" s="37">
        <v>220</v>
      </c>
      <c r="D205" s="37">
        <v>221144</v>
      </c>
      <c r="E205" s="19" t="s" vm="154">
        <v>866</v>
      </c>
      <c r="F205" s="19" t="s">
        <v>1409</v>
      </c>
      <c r="G205" s="19" t="s">
        <v>781</v>
      </c>
      <c r="H205" s="19" t="s">
        <v>990</v>
      </c>
      <c r="I205" s="19" t="s">
        <v>595</v>
      </c>
      <c r="J205" s="19" t="s">
        <v>575</v>
      </c>
      <c r="K205" s="19" t="s">
        <v>6</v>
      </c>
      <c r="L205" s="19">
        <v>91354</v>
      </c>
      <c r="M205" s="19">
        <v>34.462547000000001</v>
      </c>
      <c r="N205" s="19">
        <v>-118.561635</v>
      </c>
      <c r="O205" s="19" t="s">
        <v>929</v>
      </c>
      <c r="P205" s="19" t="s">
        <v>1413</v>
      </c>
      <c r="Q205" s="19" t="s">
        <v>930</v>
      </c>
      <c r="R205" s="19" t="s">
        <v>21</v>
      </c>
      <c r="S205" s="19" t="s">
        <v>1234</v>
      </c>
      <c r="T205" s="19" t="s">
        <v>988</v>
      </c>
      <c r="U205" s="19" t="s">
        <v>820</v>
      </c>
      <c r="V205" s="19" t="s">
        <v>866</v>
      </c>
      <c r="W205" s="20">
        <v>0.5</v>
      </c>
      <c r="X205" s="39">
        <v>2009</v>
      </c>
      <c r="Y205" s="39">
        <v>2014</v>
      </c>
      <c r="Z205" s="25">
        <v>41730</v>
      </c>
      <c r="AA205" s="19">
        <v>2012</v>
      </c>
      <c r="AB205" s="25">
        <v>40756</v>
      </c>
      <c r="AC205" s="19" t="s">
        <v>783</v>
      </c>
      <c r="AD205" s="19" t="s">
        <v>784</v>
      </c>
      <c r="AE205" s="21">
        <v>0</v>
      </c>
      <c r="AF205" s="19">
        <v>3</v>
      </c>
      <c r="AG205" s="19">
        <v>10</v>
      </c>
      <c r="AH205" s="19" t="s">
        <v>785</v>
      </c>
      <c r="AI205" s="19"/>
      <c r="AJ205" s="19"/>
      <c r="AK205" s="19"/>
      <c r="AL205" s="43" t="s">
        <v>765</v>
      </c>
      <c r="AM205" s="19">
        <v>0</v>
      </c>
      <c r="AN205" s="19" t="s">
        <v>1406</v>
      </c>
      <c r="AO205" s="19" t="s">
        <v>1363</v>
      </c>
      <c r="AP205" s="19">
        <v>23357</v>
      </c>
      <c r="AQ205" s="26" t="str">
        <f>IFERROR(PropInfo[[#This Row],[Yardi]]*1,PropInfo[[#This Row],[Yardi]])</f>
        <v>lax1279</v>
      </c>
    </row>
    <row r="206" spans="1:43" x14ac:dyDescent="0.2">
      <c r="A206" s="43" t="s">
        <v>608</v>
      </c>
      <c r="B206" s="19" t="s">
        <v>609</v>
      </c>
      <c r="C206" s="37">
        <v>282</v>
      </c>
      <c r="D206" s="37">
        <v>199152</v>
      </c>
      <c r="E206" s="19" t="s" vm="126">
        <v>866</v>
      </c>
      <c r="F206" s="19" t="s">
        <v>1409</v>
      </c>
      <c r="G206" s="19" t="s">
        <v>781</v>
      </c>
      <c r="H206" s="19" t="s">
        <v>609</v>
      </c>
      <c r="I206" s="19" t="s">
        <v>610</v>
      </c>
      <c r="J206" s="19" t="s">
        <v>611</v>
      </c>
      <c r="K206" s="19" t="s">
        <v>6</v>
      </c>
      <c r="L206" s="19">
        <v>94587</v>
      </c>
      <c r="M206" s="19">
        <v>37.588549899999997</v>
      </c>
      <c r="N206" s="19">
        <v>-122.0174895</v>
      </c>
      <c r="O206" s="19" t="s">
        <v>786</v>
      </c>
      <c r="P206" s="19" t="s">
        <v>1414</v>
      </c>
      <c r="Q206" s="19" t="s">
        <v>853</v>
      </c>
      <c r="R206" s="19" t="s">
        <v>854</v>
      </c>
      <c r="S206" s="19" t="s">
        <v>119</v>
      </c>
      <c r="T206" s="19" t="s">
        <v>867</v>
      </c>
      <c r="U206" s="19" t="s">
        <v>820</v>
      </c>
      <c r="V206" s="19" t="s">
        <v>866</v>
      </c>
      <c r="W206" s="20">
        <v>0.5</v>
      </c>
      <c r="X206" s="39">
        <v>1989</v>
      </c>
      <c r="Y206" s="39">
        <v>2014</v>
      </c>
      <c r="Z206" s="25">
        <v>41730</v>
      </c>
      <c r="AA206" s="19">
        <v>2005</v>
      </c>
      <c r="AB206" s="25">
        <v>38139</v>
      </c>
      <c r="AC206" s="19" t="s">
        <v>783</v>
      </c>
      <c r="AD206" s="19" t="s">
        <v>800</v>
      </c>
      <c r="AE206" s="21">
        <v>0</v>
      </c>
      <c r="AF206" s="19">
        <v>4</v>
      </c>
      <c r="AG206" s="19">
        <v>13</v>
      </c>
      <c r="AH206" s="19" t="s">
        <v>785</v>
      </c>
      <c r="AI206" s="19"/>
      <c r="AJ206" s="19"/>
      <c r="AK206" s="19"/>
      <c r="AL206" s="43" t="s">
        <v>764</v>
      </c>
      <c r="AM206" s="19">
        <v>0</v>
      </c>
      <c r="AN206" s="19" t="s">
        <v>1406</v>
      </c>
      <c r="AO206" s="19" t="s">
        <v>1569</v>
      </c>
      <c r="AP206" s="19">
        <v>462</v>
      </c>
      <c r="AQ206" s="26" t="str">
        <f>IFERROR(PropInfo[[#This Row],[Yardi]]*1,PropInfo[[#This Row],[Yardi]])</f>
        <v>sfo1108</v>
      </c>
    </row>
    <row r="207" spans="1:43" hidden="1" x14ac:dyDescent="0.2">
      <c r="A207" s="43" t="s">
        <v>430</v>
      </c>
      <c r="B207" s="19" t="s">
        <v>431</v>
      </c>
      <c r="C207" s="37">
        <v>8</v>
      </c>
      <c r="D207" s="37">
        <v>8667</v>
      </c>
      <c r="E207" s="19" t="s">
        <v>762</v>
      </c>
      <c r="F207" s="19" t="s">
        <v>1409</v>
      </c>
      <c r="G207" s="19" t="s">
        <v>835</v>
      </c>
      <c r="H207" s="19" t="s">
        <v>428</v>
      </c>
      <c r="I207" s="19" t="s">
        <v>981</v>
      </c>
      <c r="J207" s="19" t="s">
        <v>429</v>
      </c>
      <c r="K207" s="19" t="s">
        <v>6</v>
      </c>
      <c r="L207" s="19">
        <v>91601</v>
      </c>
      <c r="M207" s="19">
        <v>34.166473000000003</v>
      </c>
      <c r="N207" s="19">
        <v>-118.37080400000001</v>
      </c>
      <c r="O207" s="19" t="s">
        <v>929</v>
      </c>
      <c r="P207" s="19" t="s">
        <v>1413</v>
      </c>
      <c r="Q207" s="19" t="s">
        <v>930</v>
      </c>
      <c r="R207" s="19" t="s">
        <v>21</v>
      </c>
      <c r="S207" s="19" t="s">
        <v>931</v>
      </c>
      <c r="T207" s="19" t="s">
        <v>937</v>
      </c>
      <c r="U207" s="19" t="s">
        <v>790</v>
      </c>
      <c r="V207" s="19" t="s">
        <v>782</v>
      </c>
      <c r="W207" s="20">
        <v>1</v>
      </c>
      <c r="X207" s="39">
        <v>2011</v>
      </c>
      <c r="Y207" s="39">
        <v>2010</v>
      </c>
      <c r="Z207" s="25">
        <v>40451</v>
      </c>
      <c r="AA207" s="19">
        <v>2012</v>
      </c>
      <c r="AB207" s="25">
        <v>40817</v>
      </c>
      <c r="AC207" s="19" t="s">
        <v>804</v>
      </c>
      <c r="AD207" s="19" t="s">
        <v>800</v>
      </c>
      <c r="AE207" s="21">
        <v>0</v>
      </c>
      <c r="AF207" s="19">
        <v>6</v>
      </c>
      <c r="AG207" s="19">
        <v>1</v>
      </c>
      <c r="AH207" s="19" t="s">
        <v>792</v>
      </c>
      <c r="AI207" s="19"/>
      <c r="AJ207" s="19"/>
      <c r="AK207" s="19"/>
      <c r="AL207" s="43" t="e">
        <v>#N/A</v>
      </c>
      <c r="AM207" s="19" t="e">
        <v>#N/A</v>
      </c>
      <c r="AN207" s="19" t="e">
        <v>#N/A</v>
      </c>
      <c r="AO207" s="19" t="s">
        <v>1565</v>
      </c>
      <c r="AP207" s="19">
        <v>0</v>
      </c>
      <c r="AQ207" s="26">
        <f>IFERROR(PropInfo[[#This Row],[Yardi]]*1,PropInfo[[#This Row],[Yardi]])</f>
        <v>212</v>
      </c>
    </row>
    <row r="208" spans="1:43" x14ac:dyDescent="0.2">
      <c r="A208" s="43" t="s">
        <v>190</v>
      </c>
      <c r="B208" s="19" t="s">
        <v>191</v>
      </c>
      <c r="C208" s="37">
        <v>192</v>
      </c>
      <c r="D208" s="37">
        <v>175420</v>
      </c>
      <c r="E208" s="19" t="s" vm="163">
        <v>866</v>
      </c>
      <c r="F208" s="19" t="s">
        <v>1409</v>
      </c>
      <c r="G208" s="19" t="s">
        <v>781</v>
      </c>
      <c r="H208" s="19" t="s">
        <v>191</v>
      </c>
      <c r="I208" s="19" t="s">
        <v>192</v>
      </c>
      <c r="J208" s="19" t="s">
        <v>193</v>
      </c>
      <c r="K208" s="19" t="s">
        <v>6</v>
      </c>
      <c r="L208" s="19">
        <v>94541</v>
      </c>
      <c r="M208" s="19">
        <v>37.667748899999999</v>
      </c>
      <c r="N208" s="19">
        <v>-122.0867228</v>
      </c>
      <c r="O208" s="19" t="s">
        <v>786</v>
      </c>
      <c r="P208" s="19" t="s">
        <v>1414</v>
      </c>
      <c r="Q208" s="19" t="s">
        <v>853</v>
      </c>
      <c r="R208" s="19" t="s">
        <v>854</v>
      </c>
      <c r="S208" s="19" t="s">
        <v>119</v>
      </c>
      <c r="T208" s="19" t="s">
        <v>867</v>
      </c>
      <c r="U208" s="19" t="s">
        <v>820</v>
      </c>
      <c r="V208" s="19" t="s">
        <v>866</v>
      </c>
      <c r="W208" s="20">
        <v>0.5</v>
      </c>
      <c r="X208" s="39">
        <v>2000</v>
      </c>
      <c r="Y208" s="39">
        <v>2014</v>
      </c>
      <c r="Z208" s="25">
        <v>41730</v>
      </c>
      <c r="AA208" s="19">
        <v>2005</v>
      </c>
      <c r="AB208" s="25">
        <v>38078</v>
      </c>
      <c r="AC208" s="19" t="s">
        <v>783</v>
      </c>
      <c r="AD208" s="19" t="s">
        <v>784</v>
      </c>
      <c r="AE208" s="21">
        <v>0</v>
      </c>
      <c r="AF208" s="19">
        <v>3</v>
      </c>
      <c r="AG208" s="19">
        <v>11</v>
      </c>
      <c r="AH208" s="19" t="s">
        <v>785</v>
      </c>
      <c r="AI208" s="19"/>
      <c r="AJ208" s="19"/>
      <c r="AK208" s="19"/>
      <c r="AL208" s="43" t="s">
        <v>763</v>
      </c>
      <c r="AM208" s="19">
        <v>0</v>
      </c>
      <c r="AN208" s="19" t="s">
        <v>1406</v>
      </c>
      <c r="AO208" s="19" t="s">
        <v>1569</v>
      </c>
      <c r="AP208" s="19">
        <v>9767</v>
      </c>
      <c r="AQ208" s="26" t="str">
        <f>IFERROR(PropInfo[[#This Row],[Yardi]]*1,PropInfo[[#This Row],[Yardi]])</f>
        <v>sfo1161</v>
      </c>
    </row>
    <row r="209" spans="1:43" x14ac:dyDescent="0.2">
      <c r="A209" s="43" t="s">
        <v>637</v>
      </c>
      <c r="B209" s="19" t="s">
        <v>638</v>
      </c>
      <c r="C209" s="37">
        <v>58</v>
      </c>
      <c r="D209" s="37">
        <v>42173</v>
      </c>
      <c r="E209" s="19" t="s" vm="85">
        <v>1368</v>
      </c>
      <c r="F209" s="19" t="s">
        <v>1409</v>
      </c>
      <c r="G209" s="19" t="s">
        <v>781</v>
      </c>
      <c r="H209" s="19" t="s">
        <v>638</v>
      </c>
      <c r="I209" s="19" t="s">
        <v>639</v>
      </c>
      <c r="J209" s="19" t="s">
        <v>26</v>
      </c>
      <c r="K209" s="19" t="s">
        <v>27</v>
      </c>
      <c r="L209" s="19">
        <v>98122</v>
      </c>
      <c r="M209" s="19">
        <v>47.614491000000001</v>
      </c>
      <c r="N209" s="19">
        <v>-122.312798</v>
      </c>
      <c r="O209" s="19" t="s">
        <v>1090</v>
      </c>
      <c r="P209" s="19" t="s">
        <v>1412</v>
      </c>
      <c r="Q209" s="19" t="s">
        <v>1091</v>
      </c>
      <c r="R209" s="19" t="s">
        <v>1092</v>
      </c>
      <c r="S209" s="19" t="s">
        <v>1134</v>
      </c>
      <c r="T209" s="19" t="s">
        <v>1142</v>
      </c>
      <c r="U209" s="19" t="s">
        <v>790</v>
      </c>
      <c r="V209" s="19" t="s">
        <v>782</v>
      </c>
      <c r="W209" s="20">
        <v>1</v>
      </c>
      <c r="X209" s="39">
        <v>2013</v>
      </c>
      <c r="Y209" s="39">
        <v>2013</v>
      </c>
      <c r="Z209" s="25">
        <v>41548</v>
      </c>
      <c r="AA209" s="19">
        <v>2015</v>
      </c>
      <c r="AB209" s="25">
        <v>41640</v>
      </c>
      <c r="AC209" s="19" t="s">
        <v>804</v>
      </c>
      <c r="AD209" s="19" t="s">
        <v>800</v>
      </c>
      <c r="AE209" s="21" t="s">
        <v>1494</v>
      </c>
      <c r="AF209" s="19">
        <v>6</v>
      </c>
      <c r="AG209" s="19">
        <v>1</v>
      </c>
      <c r="AH209" s="19" t="s">
        <v>792</v>
      </c>
      <c r="AI209" s="19"/>
      <c r="AJ209" s="19"/>
      <c r="AK209" s="19"/>
      <c r="AL209" s="43" t="s">
        <v>637</v>
      </c>
      <c r="AM209" s="19">
        <v>30</v>
      </c>
      <c r="AN209" s="19" t="s">
        <v>1403</v>
      </c>
      <c r="AO209" s="19" t="s">
        <v>1351</v>
      </c>
      <c r="AP209" s="19">
        <v>44052</v>
      </c>
      <c r="AQ209" s="26">
        <f>IFERROR(PropInfo[[#This Row],[Yardi]]*1,PropInfo[[#This Row],[Yardi]])</f>
        <v>400</v>
      </c>
    </row>
    <row r="210" spans="1:43" hidden="1" x14ac:dyDescent="0.2">
      <c r="A210" s="43" t="s">
        <v>434</v>
      </c>
      <c r="B210" s="19" t="s">
        <v>435</v>
      </c>
      <c r="C210" s="37">
        <v>269</v>
      </c>
      <c r="D210" s="37"/>
      <c r="E210" s="19" t="s" vm="14">
        <v>1369</v>
      </c>
      <c r="F210" s="19" t="s">
        <v>1411</v>
      </c>
      <c r="G210" s="19" t="s">
        <v>781</v>
      </c>
      <c r="H210" s="19" t="s">
        <v>435</v>
      </c>
      <c r="I210" s="19" t="s">
        <v>825</v>
      </c>
      <c r="J210" s="19" t="s">
        <v>9</v>
      </c>
      <c r="K210" s="19" t="s">
        <v>6</v>
      </c>
      <c r="L210" s="19">
        <v>95126</v>
      </c>
      <c r="M210" s="19">
        <v>37.322346000000003</v>
      </c>
      <c r="N210" s="19">
        <v>-121.906206</v>
      </c>
      <c r="O210" s="19" t="s">
        <v>786</v>
      </c>
      <c r="P210" s="19" t="s">
        <v>1414</v>
      </c>
      <c r="Q210" s="19" t="s">
        <v>787</v>
      </c>
      <c r="R210" s="19" t="s">
        <v>5</v>
      </c>
      <c r="S210" s="19" t="s">
        <v>797</v>
      </c>
      <c r="T210" s="19" t="s">
        <v>805</v>
      </c>
      <c r="U210" s="19" t="s">
        <v>779</v>
      </c>
      <c r="V210" s="19" t="s">
        <v>802</v>
      </c>
      <c r="W210" s="20">
        <v>0.501</v>
      </c>
      <c r="X210" s="39">
        <v>2019</v>
      </c>
      <c r="Y210" s="39">
        <v>2017</v>
      </c>
      <c r="Z210" s="25" t="e">
        <v>#N/A</v>
      </c>
      <c r="AA210" s="19"/>
      <c r="AB210" s="25"/>
      <c r="AC210" s="19" t="s">
        <v>783</v>
      </c>
      <c r="AD210" s="19" t="s">
        <v>800</v>
      </c>
      <c r="AE210" s="21">
        <v>0</v>
      </c>
      <c r="AF210" s="19">
        <v>6</v>
      </c>
      <c r="AG210" s="19">
        <v>1</v>
      </c>
      <c r="AH210" s="19"/>
      <c r="AI210" s="19"/>
      <c r="AJ210" s="19"/>
      <c r="AK210" s="19"/>
      <c r="AL210" s="43" t="e">
        <v>#N/A</v>
      </c>
      <c r="AM210" s="19" t="e">
        <v>#N/A</v>
      </c>
      <c r="AN210" s="19" t="e">
        <v>#N/A</v>
      </c>
      <c r="AO210" s="19" t="s">
        <v>1565</v>
      </c>
      <c r="AP210" s="19" t="e">
        <v>#N/A</v>
      </c>
      <c r="AQ210" s="26">
        <f>IFERROR(PropInfo[[#This Row],[Yardi]]*1,PropInfo[[#This Row],[Yardi]])</f>
        <v>484</v>
      </c>
    </row>
    <row r="211" spans="1:43" x14ac:dyDescent="0.2">
      <c r="A211" s="43" t="s">
        <v>198</v>
      </c>
      <c r="B211" s="19" t="s">
        <v>199</v>
      </c>
      <c r="C211" s="37">
        <v>76</v>
      </c>
      <c r="D211" s="37">
        <v>48725</v>
      </c>
      <c r="E211" s="19" t="s" vm="241">
        <v>1368</v>
      </c>
      <c r="F211" s="19" t="s">
        <v>1409</v>
      </c>
      <c r="G211" s="19" t="s">
        <v>781</v>
      </c>
      <c r="H211" s="19" t="s">
        <v>199</v>
      </c>
      <c r="I211" s="19" t="s">
        <v>1141</v>
      </c>
      <c r="J211" s="19" t="s">
        <v>26</v>
      </c>
      <c r="K211" s="19" t="s">
        <v>27</v>
      </c>
      <c r="L211" s="19">
        <v>98122</v>
      </c>
      <c r="M211" s="19">
        <v>47.615397999999999</v>
      </c>
      <c r="N211" s="19">
        <v>-122.315697</v>
      </c>
      <c r="O211" s="19" t="s">
        <v>1090</v>
      </c>
      <c r="P211" s="19" t="s">
        <v>1412</v>
      </c>
      <c r="Q211" s="19" t="s">
        <v>1091</v>
      </c>
      <c r="R211" s="19" t="s">
        <v>1092</v>
      </c>
      <c r="S211" s="19" t="s">
        <v>1134</v>
      </c>
      <c r="T211" s="19" t="s">
        <v>1142</v>
      </c>
      <c r="U211" s="19" t="s">
        <v>790</v>
      </c>
      <c r="V211" s="19" t="s">
        <v>782</v>
      </c>
      <c r="W211" s="20">
        <v>1</v>
      </c>
      <c r="X211" s="39">
        <v>2013</v>
      </c>
      <c r="Y211" s="39">
        <v>2014</v>
      </c>
      <c r="Z211" s="25">
        <v>41780</v>
      </c>
      <c r="AA211" s="19">
        <v>2015</v>
      </c>
      <c r="AB211" s="25">
        <v>41791</v>
      </c>
      <c r="AC211" s="19" t="s">
        <v>804</v>
      </c>
      <c r="AD211" s="19" t="s">
        <v>800</v>
      </c>
      <c r="AE211" s="21" t="s">
        <v>1494</v>
      </c>
      <c r="AF211" s="19">
        <v>6</v>
      </c>
      <c r="AG211" s="19">
        <v>1</v>
      </c>
      <c r="AH211" s="19" t="s">
        <v>792</v>
      </c>
      <c r="AI211" s="19"/>
      <c r="AJ211" s="19"/>
      <c r="AK211" s="19"/>
      <c r="AL211" s="43" t="s">
        <v>198</v>
      </c>
      <c r="AM211" s="19">
        <v>30</v>
      </c>
      <c r="AN211" s="19" t="s">
        <v>1403</v>
      </c>
      <c r="AO211" s="19" t="s">
        <v>1351</v>
      </c>
      <c r="AP211" s="19">
        <v>44916</v>
      </c>
      <c r="AQ211" s="26">
        <f>IFERROR(PropInfo[[#This Row],[Yardi]]*1,PropInfo[[#This Row],[Yardi]])</f>
        <v>403</v>
      </c>
    </row>
    <row r="212" spans="1:43" hidden="1" x14ac:dyDescent="0.2">
      <c r="A212" s="43" t="s">
        <v>1558</v>
      </c>
      <c r="B212" s="19" t="s">
        <v>437</v>
      </c>
      <c r="C212" s="37">
        <v>312</v>
      </c>
      <c r="D212" s="37">
        <v>283048</v>
      </c>
      <c r="E212" s="19" t="s">
        <v>1369</v>
      </c>
      <c r="F212" s="19" t="s">
        <v>1409</v>
      </c>
      <c r="G212" s="19" t="s">
        <v>781</v>
      </c>
      <c r="H212" s="19" t="s">
        <v>437</v>
      </c>
      <c r="I212" s="19" t="s">
        <v>811</v>
      </c>
      <c r="J212" s="19" t="s">
        <v>9</v>
      </c>
      <c r="K212" s="19" t="s">
        <v>6</v>
      </c>
      <c r="L212" s="19">
        <v>95113</v>
      </c>
      <c r="M212" s="19">
        <v>37.335129000000002</v>
      </c>
      <c r="N212" s="19">
        <v>-121.892263</v>
      </c>
      <c r="O212" s="19" t="s">
        <v>786</v>
      </c>
      <c r="P212" s="19" t="s">
        <v>1414</v>
      </c>
      <c r="Q212" s="19" t="s">
        <v>787</v>
      </c>
      <c r="R212" s="19" t="s">
        <v>5</v>
      </c>
      <c r="S212" s="19" t="s">
        <v>797</v>
      </c>
      <c r="T212" s="19" t="s">
        <v>805</v>
      </c>
      <c r="U212" s="19" t="s">
        <v>779</v>
      </c>
      <c r="V212" s="19" t="s">
        <v>810</v>
      </c>
      <c r="W212" s="20">
        <v>1</v>
      </c>
      <c r="X212" s="39">
        <v>2015</v>
      </c>
      <c r="Y212" s="39">
        <v>2013</v>
      </c>
      <c r="Z212" s="25">
        <v>41425</v>
      </c>
      <c r="AA212" s="19">
        <v>2017</v>
      </c>
      <c r="AB212" s="25">
        <v>42430</v>
      </c>
      <c r="AC212" s="19" t="s">
        <v>804</v>
      </c>
      <c r="AD212" s="19" t="s">
        <v>808</v>
      </c>
      <c r="AE212" s="21">
        <v>312</v>
      </c>
      <c r="AF212" s="19">
        <v>23</v>
      </c>
      <c r="AG212" s="19">
        <v>1</v>
      </c>
      <c r="AH212" s="19"/>
      <c r="AI212" s="19"/>
      <c r="AJ212" s="19"/>
      <c r="AK212" s="19"/>
      <c r="AL212" s="43"/>
      <c r="AM212" s="19">
        <v>0</v>
      </c>
      <c r="AN212" s="19" t="s">
        <v>1406</v>
      </c>
      <c r="AO212" s="19" t="s">
        <v>1565</v>
      </c>
      <c r="AP212" s="19">
        <v>37698</v>
      </c>
      <c r="AQ212" s="26" t="str">
        <f>IFERROR(PropInfo[[#This Row],[Yardi]]*1,PropInfo[[#This Row],[Yardi]])</f>
        <v>345jv</v>
      </c>
    </row>
    <row r="213" spans="1:43" hidden="1" x14ac:dyDescent="0.2">
      <c r="A213" s="43" t="s">
        <v>713</v>
      </c>
      <c r="B213" s="19" t="s">
        <v>1156</v>
      </c>
      <c r="C213" s="37">
        <v>3</v>
      </c>
      <c r="D213" s="37">
        <v>6534</v>
      </c>
      <c r="E213" s="19" t="s">
        <v>762</v>
      </c>
      <c r="F213" s="19" t="s">
        <v>1409</v>
      </c>
      <c r="G213" s="19" t="s">
        <v>835</v>
      </c>
      <c r="H213" s="19" t="s">
        <v>437</v>
      </c>
      <c r="I213" s="19" t="s">
        <v>811</v>
      </c>
      <c r="J213" s="19" t="s">
        <v>9</v>
      </c>
      <c r="K213" s="19" t="s">
        <v>6</v>
      </c>
      <c r="L213" s="19">
        <v>95113</v>
      </c>
      <c r="M213" s="19">
        <v>37.335129000000002</v>
      </c>
      <c r="N213" s="19">
        <v>-121.892263</v>
      </c>
      <c r="O213" s="19" t="s">
        <v>786</v>
      </c>
      <c r="P213" s="19" t="s">
        <v>1414</v>
      </c>
      <c r="Q213" s="19" t="s">
        <v>787</v>
      </c>
      <c r="R213" s="19" t="s">
        <v>5</v>
      </c>
      <c r="S213" s="19" t="s">
        <v>797</v>
      </c>
      <c r="T213" s="19" t="s">
        <v>805</v>
      </c>
      <c r="U213" s="19" t="s">
        <v>779</v>
      </c>
      <c r="V213" s="19" t="s">
        <v>810</v>
      </c>
      <c r="W213" s="20">
        <v>1</v>
      </c>
      <c r="X213" s="39">
        <v>2015</v>
      </c>
      <c r="Y213" s="39">
        <v>2013</v>
      </c>
      <c r="Z213" s="25">
        <v>41425</v>
      </c>
      <c r="AA213" s="19">
        <v>2017</v>
      </c>
      <c r="AB213" s="25">
        <v>42430</v>
      </c>
      <c r="AC213" s="19" t="s">
        <v>804</v>
      </c>
      <c r="AD213" s="19" t="s">
        <v>808</v>
      </c>
      <c r="AE213" s="21">
        <v>0</v>
      </c>
      <c r="AF213" s="19">
        <v>23</v>
      </c>
      <c r="AG213" s="19">
        <v>1</v>
      </c>
      <c r="AH213" s="19"/>
      <c r="AI213" s="19"/>
      <c r="AJ213" s="19"/>
      <c r="AK213" s="19"/>
      <c r="AL213" s="43" t="e">
        <v>#N/A</v>
      </c>
      <c r="AM213" s="19" t="e">
        <v>#N/A</v>
      </c>
      <c r="AN213" s="19" t="e">
        <v>#N/A</v>
      </c>
      <c r="AO213" s="19" t="s">
        <v>1565</v>
      </c>
      <c r="AP213" s="19">
        <v>0</v>
      </c>
      <c r="AQ213" s="26">
        <f>IFERROR(PropInfo[[#This Row],[Yardi]]*1,PropInfo[[#This Row],[Yardi]])</f>
        <v>346</v>
      </c>
    </row>
    <row r="214" spans="1:43" hidden="1" x14ac:dyDescent="0.2">
      <c r="A214" s="43" t="s">
        <v>1560</v>
      </c>
      <c r="B214" s="19" t="s">
        <v>1156</v>
      </c>
      <c r="C214" s="37">
        <v>3</v>
      </c>
      <c r="D214" s="37">
        <v>6534</v>
      </c>
      <c r="E214" s="19" t="s">
        <v>762</v>
      </c>
      <c r="F214" s="19" t="s">
        <v>1409</v>
      </c>
      <c r="G214" s="19" t="s">
        <v>835</v>
      </c>
      <c r="H214" s="19" t="s">
        <v>437</v>
      </c>
      <c r="I214" s="19" t="s">
        <v>811</v>
      </c>
      <c r="J214" s="19" t="s">
        <v>9</v>
      </c>
      <c r="K214" s="19" t="s">
        <v>6</v>
      </c>
      <c r="L214" s="19">
        <v>95113</v>
      </c>
      <c r="M214" s="19">
        <v>37.335129000000002</v>
      </c>
      <c r="N214" s="19">
        <v>-121.892263</v>
      </c>
      <c r="O214" s="19" t="s">
        <v>786</v>
      </c>
      <c r="P214" s="19" t="s">
        <v>1414</v>
      </c>
      <c r="Q214" s="19" t="s">
        <v>787</v>
      </c>
      <c r="R214" s="19" t="s">
        <v>5</v>
      </c>
      <c r="S214" s="19" t="s">
        <v>797</v>
      </c>
      <c r="T214" s="19" t="s">
        <v>805</v>
      </c>
      <c r="U214" s="19" t="s">
        <v>779</v>
      </c>
      <c r="V214" s="19" t="s">
        <v>810</v>
      </c>
      <c r="W214" s="20">
        <v>1</v>
      </c>
      <c r="X214" s="39">
        <v>2015</v>
      </c>
      <c r="Y214" s="39">
        <v>2013</v>
      </c>
      <c r="Z214" s="25">
        <v>41425</v>
      </c>
      <c r="AA214" s="19">
        <v>2017</v>
      </c>
      <c r="AB214" s="25">
        <v>42430</v>
      </c>
      <c r="AC214" s="19" t="s">
        <v>804</v>
      </c>
      <c r="AD214" s="19" t="s">
        <v>808</v>
      </c>
      <c r="AE214" s="21">
        <v>0</v>
      </c>
      <c r="AF214" s="19">
        <v>23</v>
      </c>
      <c r="AG214" s="19">
        <v>1</v>
      </c>
      <c r="AH214" s="19"/>
      <c r="AI214" s="19"/>
      <c r="AJ214" s="19"/>
      <c r="AK214" s="19"/>
      <c r="AL214" s="43" t="e">
        <v>#N/A</v>
      </c>
      <c r="AM214" s="19" t="e">
        <v>#N/A</v>
      </c>
      <c r="AN214" s="19" t="e">
        <v>#N/A</v>
      </c>
      <c r="AO214" s="19" t="s">
        <v>1565</v>
      </c>
      <c r="AP214" s="19">
        <v>0</v>
      </c>
      <c r="AQ214" s="26" t="str">
        <f>IFERROR(PropInfo[[#This Row],[Yardi]]*1,PropInfo[[#This Row],[Yardi]])</f>
        <v>346jv</v>
      </c>
    </row>
    <row r="215" spans="1:43" hidden="1" x14ac:dyDescent="0.2">
      <c r="A215" s="46" t="s">
        <v>1593</v>
      </c>
      <c r="B215" s="30" t="s">
        <v>1596</v>
      </c>
      <c r="C215" s="38"/>
      <c r="D215" s="38"/>
      <c r="E215" s="31" t="s">
        <v>1289</v>
      </c>
      <c r="F215" s="31"/>
      <c r="G215" s="30"/>
      <c r="H215" s="19"/>
      <c r="I215" s="32"/>
      <c r="J215" s="32"/>
      <c r="K215" s="32"/>
      <c r="L215" s="32"/>
      <c r="M215" s="32"/>
      <c r="N215" s="32"/>
      <c r="O215" s="30"/>
      <c r="P215" s="31"/>
      <c r="Q215" s="30"/>
      <c r="R215" s="30"/>
      <c r="S215" s="30"/>
      <c r="T215" s="30"/>
      <c r="U215" s="30"/>
      <c r="V215" s="30"/>
      <c r="W215" s="33"/>
      <c r="X215" s="31"/>
      <c r="Y215" s="31"/>
      <c r="Z215" s="34"/>
      <c r="AA215" s="31"/>
      <c r="AB215" s="34"/>
      <c r="AC215" s="30"/>
      <c r="AD215" s="30"/>
      <c r="AE215" s="35"/>
      <c r="AF215" s="30"/>
      <c r="AG215" s="30"/>
      <c r="AH215" s="30"/>
      <c r="AI215" s="30"/>
      <c r="AJ215" s="30"/>
      <c r="AK215" s="30"/>
      <c r="AL215" s="44"/>
      <c r="AM215" s="31"/>
      <c r="AN215" s="31"/>
      <c r="AO215" s="31"/>
      <c r="AP215" s="31"/>
      <c r="AQ215" s="26">
        <f>IFERROR(PropInfo[[#This Row],[Yardi]]*1,PropInfo[[#This Row],[Yardi]])</f>
        <v>493</v>
      </c>
    </row>
    <row r="216" spans="1:43" hidden="1" x14ac:dyDescent="0.2">
      <c r="A216" s="46" t="s">
        <v>1594</v>
      </c>
      <c r="B216" s="30" t="s">
        <v>1597</v>
      </c>
      <c r="C216" s="38"/>
      <c r="D216" s="38"/>
      <c r="E216" s="31" t="s">
        <v>1289</v>
      </c>
      <c r="F216" s="31"/>
      <c r="G216" s="30"/>
      <c r="H216" s="19"/>
      <c r="I216" s="32"/>
      <c r="J216" s="32"/>
      <c r="K216" s="32"/>
      <c r="L216" s="32"/>
      <c r="M216" s="32"/>
      <c r="N216" s="32"/>
      <c r="O216" s="30"/>
      <c r="P216" s="31"/>
      <c r="Q216" s="30"/>
      <c r="R216" s="30"/>
      <c r="S216" s="30"/>
      <c r="T216" s="30"/>
      <c r="U216" s="30"/>
      <c r="V216" s="30"/>
      <c r="W216" s="33"/>
      <c r="X216" s="31"/>
      <c r="Y216" s="31"/>
      <c r="Z216" s="34"/>
      <c r="AA216" s="31"/>
      <c r="AB216" s="34"/>
      <c r="AC216" s="30"/>
      <c r="AD216" s="30"/>
      <c r="AE216" s="35"/>
      <c r="AF216" s="30"/>
      <c r="AG216" s="30"/>
      <c r="AH216" s="30"/>
      <c r="AI216" s="30"/>
      <c r="AJ216" s="30"/>
      <c r="AK216" s="30"/>
      <c r="AL216" s="44"/>
      <c r="AM216" s="31"/>
      <c r="AN216" s="31"/>
      <c r="AO216" s="31"/>
      <c r="AP216" s="31"/>
      <c r="AQ216" s="26">
        <f>IFERROR(PropInfo[[#This Row],[Yardi]]*1,PropInfo[[#This Row],[Yardi]])</f>
        <v>496</v>
      </c>
    </row>
    <row r="217" spans="1:43" hidden="1" x14ac:dyDescent="0.2">
      <c r="A217" s="46" t="s">
        <v>1595</v>
      </c>
      <c r="B217" s="30" t="s">
        <v>1598</v>
      </c>
      <c r="C217" s="38"/>
      <c r="D217" s="38"/>
      <c r="E217" s="31" t="s">
        <v>1289</v>
      </c>
      <c r="F217" s="31"/>
      <c r="G217" s="30"/>
      <c r="H217" s="19"/>
      <c r="I217" s="32"/>
      <c r="J217" s="32"/>
      <c r="K217" s="32"/>
      <c r="L217" s="32"/>
      <c r="M217" s="32"/>
      <c r="N217" s="32"/>
      <c r="O217" s="30"/>
      <c r="P217" s="31"/>
      <c r="Q217" s="30"/>
      <c r="R217" s="30"/>
      <c r="S217" s="30"/>
      <c r="T217" s="30"/>
      <c r="U217" s="30"/>
      <c r="V217" s="30"/>
      <c r="W217" s="33"/>
      <c r="X217" s="31"/>
      <c r="Y217" s="31"/>
      <c r="Z217" s="34"/>
      <c r="AA217" s="31"/>
      <c r="AB217" s="34"/>
      <c r="AC217" s="30"/>
      <c r="AD217" s="30"/>
      <c r="AE217" s="35"/>
      <c r="AF217" s="30"/>
      <c r="AG217" s="30"/>
      <c r="AH217" s="30"/>
      <c r="AI217" s="30"/>
      <c r="AJ217" s="30"/>
      <c r="AK217" s="30"/>
      <c r="AL217" s="44"/>
      <c r="AM217" s="31"/>
      <c r="AN217" s="31"/>
      <c r="AO217" s="31"/>
      <c r="AP217" s="31"/>
      <c r="AQ217" s="26">
        <f>IFERROR(PropInfo[[#This Row],[Yardi]]*1,PropInfo[[#This Row],[Yardi]])</f>
        <v>497</v>
      </c>
    </row>
    <row r="218" spans="1:43" x14ac:dyDescent="0.2">
      <c r="A218" s="43" t="s">
        <v>442</v>
      </c>
      <c r="B218" s="19" t="s">
        <v>863</v>
      </c>
      <c r="C218" s="37">
        <v>301</v>
      </c>
      <c r="D218" s="37">
        <v>267055</v>
      </c>
      <c r="E218" s="19" t="s" vm="149">
        <v>1368</v>
      </c>
      <c r="F218" s="19" t="s">
        <v>1409</v>
      </c>
      <c r="G218" s="19" t="s">
        <v>781</v>
      </c>
      <c r="H218" s="19" t="s">
        <v>863</v>
      </c>
      <c r="I218" s="19" t="s">
        <v>443</v>
      </c>
      <c r="J218" s="19" t="s">
        <v>119</v>
      </c>
      <c r="K218" s="19" t="s">
        <v>6</v>
      </c>
      <c r="L218" s="19">
        <v>94538</v>
      </c>
      <c r="M218" s="19">
        <v>37.548518999999999</v>
      </c>
      <c r="N218" s="19">
        <v>-121.981697</v>
      </c>
      <c r="O218" s="19" t="s">
        <v>786</v>
      </c>
      <c r="P218" s="19" t="s">
        <v>1414</v>
      </c>
      <c r="Q218" s="19" t="s">
        <v>853</v>
      </c>
      <c r="R218" s="19" t="s">
        <v>854</v>
      </c>
      <c r="S218" s="19" t="s">
        <v>119</v>
      </c>
      <c r="T218" s="19" t="s">
        <v>119</v>
      </c>
      <c r="U218" s="19" t="s">
        <v>790</v>
      </c>
      <c r="V218" s="19" t="s">
        <v>782</v>
      </c>
      <c r="W218" s="20">
        <v>1</v>
      </c>
      <c r="X218" s="39">
        <v>2013</v>
      </c>
      <c r="Y218" s="39">
        <v>2014</v>
      </c>
      <c r="Z218" s="25">
        <v>41845</v>
      </c>
      <c r="AA218" s="19">
        <v>2015</v>
      </c>
      <c r="AB218" s="25">
        <v>41883</v>
      </c>
      <c r="AC218" s="19" t="s">
        <v>783</v>
      </c>
      <c r="AD218" s="19" t="s">
        <v>796</v>
      </c>
      <c r="AE218" s="21">
        <v>301</v>
      </c>
      <c r="AF218" s="19">
        <v>4</v>
      </c>
      <c r="AG218" s="19">
        <v>2</v>
      </c>
      <c r="AH218" s="19"/>
      <c r="AI218" s="19" t="s">
        <v>1387</v>
      </c>
      <c r="AJ218" s="19">
        <v>45</v>
      </c>
      <c r="AK218" s="19">
        <v>2068</v>
      </c>
      <c r="AL218" s="43" t="s">
        <v>442</v>
      </c>
      <c r="AM218" s="19">
        <v>0</v>
      </c>
      <c r="AN218" s="19" t="s">
        <v>1406</v>
      </c>
      <c r="AO218" s="19" t="s">
        <v>1568</v>
      </c>
      <c r="AP218" s="19">
        <v>35640</v>
      </c>
      <c r="AQ218" s="26">
        <f>IFERROR(PropInfo[[#This Row],[Yardi]]*1,PropInfo[[#This Row],[Yardi]])</f>
        <v>405</v>
      </c>
    </row>
    <row r="219" spans="1:43" hidden="1" x14ac:dyDescent="0.2">
      <c r="A219" s="43" t="s">
        <v>464</v>
      </c>
      <c r="B219" s="19" t="s">
        <v>1175</v>
      </c>
      <c r="C219" s="37">
        <v>13</v>
      </c>
      <c r="D219" s="37">
        <v>22076</v>
      </c>
      <c r="E219" s="19" t="s">
        <v>842</v>
      </c>
      <c r="F219" s="19" t="s">
        <v>1409</v>
      </c>
      <c r="G219" s="19" t="s">
        <v>835</v>
      </c>
      <c r="H219" s="19" t="s">
        <v>439</v>
      </c>
      <c r="I219" s="19" t="s">
        <v>949</v>
      </c>
      <c r="J219" s="19" t="s">
        <v>21</v>
      </c>
      <c r="K219" s="19" t="s">
        <v>6</v>
      </c>
      <c r="L219" s="19">
        <v>90014</v>
      </c>
      <c r="M219" s="19">
        <v>34.044949000000003</v>
      </c>
      <c r="N219" s="19">
        <v>-118.250168</v>
      </c>
      <c r="O219" s="19" t="s">
        <v>929</v>
      </c>
      <c r="P219" s="19" t="s">
        <v>1413</v>
      </c>
      <c r="Q219" s="19" t="s">
        <v>930</v>
      </c>
      <c r="R219" s="19" t="s">
        <v>21</v>
      </c>
      <c r="S219" s="19" t="s">
        <v>944</v>
      </c>
      <c r="T219" s="19" t="s">
        <v>945</v>
      </c>
      <c r="U219" s="19" t="s">
        <v>790</v>
      </c>
      <c r="V219" s="19" t="s">
        <v>842</v>
      </c>
      <c r="W219" s="20">
        <v>0.5</v>
      </c>
      <c r="X219" s="39">
        <v>2006</v>
      </c>
      <c r="Y219" s="39">
        <v>2012</v>
      </c>
      <c r="Z219" s="25">
        <v>41254</v>
      </c>
      <c r="AA219" s="19">
        <v>2014</v>
      </c>
      <c r="AB219" s="25">
        <v>41275</v>
      </c>
      <c r="AC219" s="19" t="s">
        <v>804</v>
      </c>
      <c r="AD219" s="19" t="s">
        <v>917</v>
      </c>
      <c r="AE219" s="21">
        <v>0</v>
      </c>
      <c r="AF219" s="19">
        <v>10</v>
      </c>
      <c r="AG219" s="19">
        <v>1</v>
      </c>
      <c r="AH219" s="19" t="s">
        <v>792</v>
      </c>
      <c r="AI219" s="19"/>
      <c r="AJ219" s="19"/>
      <c r="AK219" s="19"/>
      <c r="AL219" s="43" t="e">
        <v>#N/A</v>
      </c>
      <c r="AM219" s="19" t="e">
        <v>#N/A</v>
      </c>
      <c r="AN219" s="19" t="e">
        <v>#N/A</v>
      </c>
      <c r="AO219" s="19" t="s">
        <v>1565</v>
      </c>
      <c r="AP219" s="19">
        <v>0</v>
      </c>
      <c r="AQ219" s="26">
        <f>IFERROR(PropInfo[[#This Row],[Yardi]]*1,PropInfo[[#This Row],[Yardi]])</f>
        <v>361</v>
      </c>
    </row>
    <row r="220" spans="1:43" x14ac:dyDescent="0.2">
      <c r="A220" s="43" t="s">
        <v>243</v>
      </c>
      <c r="B220" s="19" t="s">
        <v>1096</v>
      </c>
      <c r="C220" s="37">
        <v>220</v>
      </c>
      <c r="D220" s="37">
        <v>165948</v>
      </c>
      <c r="E220" s="19" t="s" vm="222">
        <v>1368</v>
      </c>
      <c r="F220" s="19" t="s">
        <v>1409</v>
      </c>
      <c r="G220" s="19" t="s">
        <v>781</v>
      </c>
      <c r="H220" s="19" t="s">
        <v>1096</v>
      </c>
      <c r="I220" s="19" t="s">
        <v>244</v>
      </c>
      <c r="J220" s="19" t="s">
        <v>91</v>
      </c>
      <c r="K220" s="19" t="s">
        <v>27</v>
      </c>
      <c r="L220" s="19">
        <v>98004</v>
      </c>
      <c r="M220" s="19">
        <v>47.620528999999998</v>
      </c>
      <c r="N220" s="19">
        <v>-122.19175</v>
      </c>
      <c r="O220" s="19" t="s">
        <v>1090</v>
      </c>
      <c r="P220" s="19" t="s">
        <v>1412</v>
      </c>
      <c r="Q220" s="19" t="s">
        <v>1091</v>
      </c>
      <c r="R220" s="19" t="s">
        <v>1092</v>
      </c>
      <c r="S220" s="19" t="s">
        <v>1093</v>
      </c>
      <c r="T220" s="19" t="s">
        <v>1094</v>
      </c>
      <c r="U220" s="19" t="s">
        <v>790</v>
      </c>
      <c r="V220" s="19" t="s">
        <v>782</v>
      </c>
      <c r="W220" s="20">
        <v>1</v>
      </c>
      <c r="X220" s="39">
        <v>1994</v>
      </c>
      <c r="Y220" s="39">
        <v>2014</v>
      </c>
      <c r="Z220" s="25">
        <v>41865</v>
      </c>
      <c r="AA220" s="19">
        <v>2015</v>
      </c>
      <c r="AB220" s="25">
        <v>41883</v>
      </c>
      <c r="AC220" s="19" t="s">
        <v>783</v>
      </c>
      <c r="AD220" s="19" t="s">
        <v>800</v>
      </c>
      <c r="AE220" s="21" t="s">
        <v>1494</v>
      </c>
      <c r="AF220" s="19">
        <v>5</v>
      </c>
      <c r="AG220" s="19">
        <v>4</v>
      </c>
      <c r="AH220" s="19"/>
      <c r="AI220" s="19" t="s">
        <v>1375</v>
      </c>
      <c r="AJ220" s="19">
        <v>22</v>
      </c>
      <c r="AK220" s="19" t="s">
        <v>1379</v>
      </c>
      <c r="AL220" s="43" t="s">
        <v>243</v>
      </c>
      <c r="AM220" s="19">
        <v>0</v>
      </c>
      <c r="AN220" s="19" t="s">
        <v>1406</v>
      </c>
      <c r="AO220" s="19" t="s">
        <v>1351</v>
      </c>
      <c r="AP220" s="19">
        <v>13384</v>
      </c>
      <c r="AQ220" s="26">
        <f>IFERROR(PropInfo[[#This Row],[Yardi]]*1,PropInfo[[#This Row],[Yardi]])</f>
        <v>406</v>
      </c>
    </row>
    <row r="221" spans="1:43" hidden="1" x14ac:dyDescent="0.2">
      <c r="A221" s="43" t="s">
        <v>1555</v>
      </c>
      <c r="B221" s="19" t="s">
        <v>1556</v>
      </c>
      <c r="C221" s="37">
        <v>1041</v>
      </c>
      <c r="D221" s="37"/>
      <c r="E221" s="19" t="s">
        <v>1368</v>
      </c>
      <c r="F221" s="19" t="s">
        <v>1409</v>
      </c>
      <c r="G221" s="19" t="s">
        <v>781</v>
      </c>
      <c r="H221" s="19" t="s">
        <v>1556</v>
      </c>
      <c r="I221" s="19" t="s">
        <v>831</v>
      </c>
      <c r="J221" s="19" t="s">
        <v>9</v>
      </c>
      <c r="K221" s="19" t="s">
        <v>6</v>
      </c>
      <c r="L221" s="19">
        <v>95123</v>
      </c>
      <c r="M221" s="19">
        <v>37.241591999999997</v>
      </c>
      <c r="N221" s="19">
        <v>-121.8090335</v>
      </c>
      <c r="O221" s="19" t="s">
        <v>786</v>
      </c>
      <c r="P221" s="19" t="s">
        <v>1414</v>
      </c>
      <c r="Q221" s="19" t="s">
        <v>787</v>
      </c>
      <c r="R221" s="19" t="s">
        <v>5</v>
      </c>
      <c r="S221" s="19" t="s">
        <v>797</v>
      </c>
      <c r="T221" s="19" t="s">
        <v>827</v>
      </c>
      <c r="U221" s="19" t="s">
        <v>790</v>
      </c>
      <c r="V221" s="19" t="s">
        <v>817</v>
      </c>
      <c r="W221" s="20">
        <v>1</v>
      </c>
      <c r="X221" s="39">
        <v>2001</v>
      </c>
      <c r="Y221" s="39">
        <v>2014</v>
      </c>
      <c r="Z221" s="25">
        <v>42738</v>
      </c>
      <c r="AA221" s="19">
        <v>2018</v>
      </c>
      <c r="AB221" s="25">
        <v>42767</v>
      </c>
      <c r="AC221" s="19" t="s">
        <v>783</v>
      </c>
      <c r="AD221" s="19" t="s">
        <v>784</v>
      </c>
      <c r="AE221" s="21">
        <v>0</v>
      </c>
      <c r="AF221" s="19">
        <v>3</v>
      </c>
      <c r="AG221" s="19"/>
      <c r="AH221" s="19"/>
      <c r="AI221" s="19"/>
      <c r="AJ221" s="19"/>
      <c r="AK221" s="19"/>
      <c r="AL221" s="43"/>
      <c r="AM221" s="19">
        <v>42</v>
      </c>
      <c r="AN221" s="19" t="s">
        <v>1403</v>
      </c>
      <c r="AO221" s="19" t="s">
        <v>1599</v>
      </c>
      <c r="AP221" s="19">
        <v>13020</v>
      </c>
      <c r="AQ221" s="26" t="str">
        <f>IFERROR(PropInfo[[#This Row],[Yardi]]*1,PropInfo[[#This Row],[Yardi]])</f>
        <v>PalmValley(EPLP)</v>
      </c>
    </row>
    <row r="222" spans="1:43" x14ac:dyDescent="0.2">
      <c r="A222" s="43" t="s">
        <v>50</v>
      </c>
      <c r="B222" s="19" t="s">
        <v>51</v>
      </c>
      <c r="C222" s="37">
        <v>366</v>
      </c>
      <c r="D222" s="37">
        <v>350854</v>
      </c>
      <c r="E222" s="19" t="s" vm="87">
        <v>1368</v>
      </c>
      <c r="F222" s="19" t="s">
        <v>1409</v>
      </c>
      <c r="G222" s="19" t="s">
        <v>781</v>
      </c>
      <c r="H222" s="19" t="s">
        <v>51</v>
      </c>
      <c r="I222" s="19" t="s">
        <v>795</v>
      </c>
      <c r="J222" s="19" t="s">
        <v>52</v>
      </c>
      <c r="K222" s="19" t="s">
        <v>6</v>
      </c>
      <c r="L222" s="19">
        <v>95035</v>
      </c>
      <c r="M222" s="19">
        <v>37.414371000000003</v>
      </c>
      <c r="N222" s="19">
        <v>-121.904602</v>
      </c>
      <c r="O222" s="19" t="s">
        <v>786</v>
      </c>
      <c r="P222" s="19" t="s">
        <v>1414</v>
      </c>
      <c r="Q222" s="19" t="s">
        <v>787</v>
      </c>
      <c r="R222" s="19" t="s">
        <v>5</v>
      </c>
      <c r="S222" s="19" t="s">
        <v>797</v>
      </c>
      <c r="T222" s="19" t="s">
        <v>798</v>
      </c>
      <c r="U222" s="19" t="s">
        <v>790</v>
      </c>
      <c r="V222" s="19" t="s">
        <v>782</v>
      </c>
      <c r="W222" s="20">
        <v>1</v>
      </c>
      <c r="X222" s="39">
        <v>2014</v>
      </c>
      <c r="Y222" s="39">
        <v>2014</v>
      </c>
      <c r="Z222" s="25">
        <v>41866</v>
      </c>
      <c r="AA222" s="19">
        <v>2016</v>
      </c>
      <c r="AB222" s="25">
        <v>42005</v>
      </c>
      <c r="AC222" s="19" t="s">
        <v>783</v>
      </c>
      <c r="AD222" s="19" t="s">
        <v>796</v>
      </c>
      <c r="AE222" s="21">
        <v>366</v>
      </c>
      <c r="AF222" s="19">
        <v>5</v>
      </c>
      <c r="AG222" s="19">
        <v>1</v>
      </c>
      <c r="AH222" s="19"/>
      <c r="AI222" s="19"/>
      <c r="AJ222" s="19"/>
      <c r="AK222" s="19"/>
      <c r="AL222" s="43" t="s">
        <v>50</v>
      </c>
      <c r="AM222" s="19">
        <v>0</v>
      </c>
      <c r="AN222" s="19" t="s">
        <v>1406</v>
      </c>
      <c r="AO222" s="19" t="s">
        <v>1568</v>
      </c>
      <c r="AP222" s="19">
        <v>36857</v>
      </c>
      <c r="AQ222" s="26">
        <f>IFERROR(PropInfo[[#This Row],[Yardi]]*1,PropInfo[[#This Row],[Yardi]])</f>
        <v>407</v>
      </c>
    </row>
    <row r="223" spans="1:43" x14ac:dyDescent="0.2">
      <c r="A223" s="43" t="s">
        <v>626</v>
      </c>
      <c r="B223" s="19" t="s">
        <v>828</v>
      </c>
      <c r="C223" s="37">
        <v>226</v>
      </c>
      <c r="D223" s="37">
        <v>264872</v>
      </c>
      <c r="E223" s="19" t="s">
        <v>1368</v>
      </c>
      <c r="F223" s="19" t="s">
        <v>1409</v>
      </c>
      <c r="G223" s="19" t="s">
        <v>781</v>
      </c>
      <c r="H223" s="19" t="s">
        <v>828</v>
      </c>
      <c r="I223" s="19" t="s">
        <v>829</v>
      </c>
      <c r="J223" s="19" t="s">
        <v>9</v>
      </c>
      <c r="K223" s="19" t="s">
        <v>6</v>
      </c>
      <c r="L223" s="19">
        <v>95123</v>
      </c>
      <c r="M223" s="19">
        <v>37.241591999999997</v>
      </c>
      <c r="N223" s="19">
        <v>-121.8090335</v>
      </c>
      <c r="O223" s="19" t="s">
        <v>786</v>
      </c>
      <c r="P223" s="19" t="s">
        <v>1414</v>
      </c>
      <c r="Q223" s="19" t="s">
        <v>787</v>
      </c>
      <c r="R223" s="19" t="s">
        <v>5</v>
      </c>
      <c r="S223" s="19" t="s">
        <v>797</v>
      </c>
      <c r="T223" s="19" t="s">
        <v>827</v>
      </c>
      <c r="U223" s="19" t="s">
        <v>790</v>
      </c>
      <c r="V223" s="19" t="s">
        <v>817</v>
      </c>
      <c r="W223" s="20">
        <v>1</v>
      </c>
      <c r="X223" s="39">
        <v>2000</v>
      </c>
      <c r="Y223" s="39">
        <v>2014</v>
      </c>
      <c r="Z223" s="25">
        <v>42738</v>
      </c>
      <c r="AA223" s="19">
        <v>2018</v>
      </c>
      <c r="AB223" s="25">
        <v>42767</v>
      </c>
      <c r="AC223" s="19" t="s">
        <v>783</v>
      </c>
      <c r="AD223" s="19" t="s">
        <v>784</v>
      </c>
      <c r="AE223" s="21">
        <v>0</v>
      </c>
      <c r="AF223" s="19">
        <v>2</v>
      </c>
      <c r="AG223" s="19">
        <v>21</v>
      </c>
      <c r="AH223" s="19"/>
      <c r="AI223" s="19"/>
      <c r="AJ223" s="19"/>
      <c r="AK223" s="19"/>
      <c r="AL223" s="43" t="s">
        <v>626</v>
      </c>
      <c r="AM223" s="19">
        <v>42</v>
      </c>
      <c r="AN223" s="19" t="s">
        <v>1403</v>
      </c>
      <c r="AO223" s="19" t="s">
        <v>1599</v>
      </c>
      <c r="AP223" s="19">
        <v>10203</v>
      </c>
      <c r="AQ223" s="26">
        <f>IFERROR(PropInfo[[#This Row],[Yardi]]*1,PropInfo[[#This Row],[Yardi]])</f>
        <v>411</v>
      </c>
    </row>
    <row r="224" spans="1:43" x14ac:dyDescent="0.2">
      <c r="A224" s="43" t="s">
        <v>441</v>
      </c>
      <c r="B224" s="19" t="s">
        <v>830</v>
      </c>
      <c r="C224" s="37">
        <v>274</v>
      </c>
      <c r="D224" s="37">
        <v>289118</v>
      </c>
      <c r="E224" s="19" t="s">
        <v>1368</v>
      </c>
      <c r="F224" s="19" t="s">
        <v>1409</v>
      </c>
      <c r="G224" s="19" t="s">
        <v>781</v>
      </c>
      <c r="H224" s="19" t="s">
        <v>830</v>
      </c>
      <c r="I224" s="19" t="s">
        <v>831</v>
      </c>
      <c r="J224" s="19" t="s">
        <v>9</v>
      </c>
      <c r="K224" s="19" t="s">
        <v>6</v>
      </c>
      <c r="L224" s="19">
        <v>95123</v>
      </c>
      <c r="M224" s="19">
        <v>37.241591999999997</v>
      </c>
      <c r="N224" s="19">
        <v>-121.8090335</v>
      </c>
      <c r="O224" s="19" t="s">
        <v>786</v>
      </c>
      <c r="P224" s="19" t="s">
        <v>1414</v>
      </c>
      <c r="Q224" s="19" t="s">
        <v>787</v>
      </c>
      <c r="R224" s="19" t="s">
        <v>5</v>
      </c>
      <c r="S224" s="19" t="s">
        <v>797</v>
      </c>
      <c r="T224" s="19" t="s">
        <v>827</v>
      </c>
      <c r="U224" s="19" t="s">
        <v>790</v>
      </c>
      <c r="V224" s="19" t="s">
        <v>817</v>
      </c>
      <c r="W224" s="20">
        <v>1</v>
      </c>
      <c r="X224" s="39">
        <v>2001</v>
      </c>
      <c r="Y224" s="39">
        <v>2014</v>
      </c>
      <c r="Z224" s="25">
        <v>42738</v>
      </c>
      <c r="AA224" s="19">
        <v>2018</v>
      </c>
      <c r="AB224" s="25">
        <v>42767</v>
      </c>
      <c r="AC224" s="19" t="s">
        <v>783</v>
      </c>
      <c r="AD224" s="19" t="s">
        <v>784</v>
      </c>
      <c r="AE224" s="21">
        <v>0</v>
      </c>
      <c r="AF224" s="19">
        <v>3</v>
      </c>
      <c r="AG224" s="19">
        <v>11</v>
      </c>
      <c r="AH224" s="19"/>
      <c r="AI224" s="19"/>
      <c r="AJ224" s="19"/>
      <c r="AK224" s="19"/>
      <c r="AL224" s="43" t="s">
        <v>441</v>
      </c>
      <c r="AM224" s="19">
        <v>42</v>
      </c>
      <c r="AN224" s="19" t="s">
        <v>1403</v>
      </c>
      <c r="AO224" s="19" t="s">
        <v>1599</v>
      </c>
      <c r="AP224" s="19">
        <v>13020</v>
      </c>
      <c r="AQ224" s="26">
        <f>IFERROR(PropInfo[[#This Row],[Yardi]]*1,PropInfo[[#This Row],[Yardi]])</f>
        <v>412</v>
      </c>
    </row>
    <row r="225" spans="1:43" x14ac:dyDescent="0.2">
      <c r="A225" s="43" t="s">
        <v>530</v>
      </c>
      <c r="B225" s="19" t="s">
        <v>1433</v>
      </c>
      <c r="C225" s="37">
        <v>598</v>
      </c>
      <c r="D225" s="37">
        <v>578294</v>
      </c>
      <c r="E225" s="19" t="s">
        <v>1368</v>
      </c>
      <c r="F225" s="19" t="s">
        <v>1409</v>
      </c>
      <c r="G225" s="19" t="s">
        <v>781</v>
      </c>
      <c r="H225" s="19" t="s">
        <v>1433</v>
      </c>
      <c r="I225" s="19" t="s">
        <v>833</v>
      </c>
      <c r="J225" s="19" t="s">
        <v>9</v>
      </c>
      <c r="K225" s="19" t="s">
        <v>6</v>
      </c>
      <c r="L225" s="19">
        <v>95123</v>
      </c>
      <c r="M225" s="19">
        <v>37.241591999999997</v>
      </c>
      <c r="N225" s="19">
        <v>-121.8090335</v>
      </c>
      <c r="O225" s="19" t="s">
        <v>786</v>
      </c>
      <c r="P225" s="19" t="s">
        <v>1414</v>
      </c>
      <c r="Q225" s="19" t="s">
        <v>787</v>
      </c>
      <c r="R225" s="19" t="s">
        <v>5</v>
      </c>
      <c r="S225" s="19" t="s">
        <v>797</v>
      </c>
      <c r="T225" s="19" t="s">
        <v>827</v>
      </c>
      <c r="U225" s="19" t="s">
        <v>790</v>
      </c>
      <c r="V225" s="19" t="s">
        <v>817</v>
      </c>
      <c r="W225" s="20">
        <v>1</v>
      </c>
      <c r="X225" s="39">
        <v>2008</v>
      </c>
      <c r="Y225" s="39">
        <v>2014</v>
      </c>
      <c r="Z225" s="25">
        <v>42738</v>
      </c>
      <c r="AA225" s="19">
        <v>2018</v>
      </c>
      <c r="AB225" s="25">
        <v>42767</v>
      </c>
      <c r="AC225" s="19" t="s">
        <v>783</v>
      </c>
      <c r="AD225" s="19" t="s">
        <v>800</v>
      </c>
      <c r="AE225" s="21">
        <v>0</v>
      </c>
      <c r="AF225" s="19">
        <v>4</v>
      </c>
      <c r="AG225" s="19">
        <v>13</v>
      </c>
      <c r="AH225" s="19"/>
      <c r="AI225" s="19"/>
      <c r="AJ225" s="19"/>
      <c r="AK225" s="19"/>
      <c r="AL225" s="43" t="s">
        <v>530</v>
      </c>
      <c r="AM225" s="19">
        <v>42</v>
      </c>
      <c r="AN225" s="19" t="s">
        <v>1403</v>
      </c>
      <c r="AO225" s="19" t="s">
        <v>1599</v>
      </c>
      <c r="AP225" s="19" t="s">
        <v>1504</v>
      </c>
      <c r="AQ225" s="26">
        <f>IFERROR(PropInfo[[#This Row],[Yardi]]*1,PropInfo[[#This Row],[Yardi]])</f>
        <v>413</v>
      </c>
    </row>
    <row r="226" spans="1:43" x14ac:dyDescent="0.2">
      <c r="A226" s="43" t="s">
        <v>669</v>
      </c>
      <c r="B226" s="19" t="s">
        <v>834</v>
      </c>
      <c r="C226" s="37">
        <v>1</v>
      </c>
      <c r="D226" s="37"/>
      <c r="E226" s="19" t="s">
        <v>762</v>
      </c>
      <c r="F226" s="19" t="s">
        <v>1409</v>
      </c>
      <c r="G226" s="19" t="s">
        <v>835</v>
      </c>
      <c r="H226" s="19" t="s">
        <v>834</v>
      </c>
      <c r="I226" s="19" t="s">
        <v>833</v>
      </c>
      <c r="J226" s="19" t="s">
        <v>9</v>
      </c>
      <c r="K226" s="19" t="s">
        <v>6</v>
      </c>
      <c r="L226" s="19">
        <v>95123</v>
      </c>
      <c r="M226" s="19">
        <v>37.241591999999997</v>
      </c>
      <c r="N226" s="19">
        <v>-121.8090335</v>
      </c>
      <c r="O226" s="19" t="s">
        <v>786</v>
      </c>
      <c r="P226" s="19" t="s">
        <v>1414</v>
      </c>
      <c r="Q226" s="19" t="s">
        <v>787</v>
      </c>
      <c r="R226" s="19" t="s">
        <v>5</v>
      </c>
      <c r="S226" s="19" t="s">
        <v>797</v>
      </c>
      <c r="T226" s="19" t="s">
        <v>827</v>
      </c>
      <c r="U226" s="19" t="s">
        <v>790</v>
      </c>
      <c r="V226" s="19" t="s">
        <v>817</v>
      </c>
      <c r="W226" s="20">
        <v>1</v>
      </c>
      <c r="X226" s="39">
        <v>2003</v>
      </c>
      <c r="Y226" s="39">
        <v>2014</v>
      </c>
      <c r="Z226" s="25">
        <v>42738</v>
      </c>
      <c r="AA226" s="19">
        <v>2018</v>
      </c>
      <c r="AB226" s="25">
        <v>42767</v>
      </c>
      <c r="AC226" s="19" t="s">
        <v>804</v>
      </c>
      <c r="AD226" s="19" t="s">
        <v>800</v>
      </c>
      <c r="AE226" s="21">
        <v>0</v>
      </c>
      <c r="AF226" s="19">
        <v>1</v>
      </c>
      <c r="AG226" s="19"/>
      <c r="AH226" s="19"/>
      <c r="AI226" s="19"/>
      <c r="AJ226" s="19"/>
      <c r="AK226" s="19"/>
      <c r="AL226" s="43" t="s">
        <v>669</v>
      </c>
      <c r="AM226" s="19" t="e">
        <v>#N/A</v>
      </c>
      <c r="AN226" s="19" t="e">
        <v>#N/A</v>
      </c>
      <c r="AO226" s="19" t="s">
        <v>1599</v>
      </c>
      <c r="AP226" s="19">
        <v>0</v>
      </c>
      <c r="AQ226" s="26">
        <f>IFERROR(PropInfo[[#This Row],[Yardi]]*1,PropInfo[[#This Row],[Yardi]])</f>
        <v>414</v>
      </c>
    </row>
    <row r="227" spans="1:43" x14ac:dyDescent="0.2">
      <c r="A227" s="43" t="s">
        <v>65</v>
      </c>
      <c r="B227" s="19" t="s">
        <v>950</v>
      </c>
      <c r="C227" s="37">
        <v>440</v>
      </c>
      <c r="D227" s="37">
        <v>305971</v>
      </c>
      <c r="E227" s="19" t="s" vm="134">
        <v>1368</v>
      </c>
      <c r="F227" s="19" t="s">
        <v>1409</v>
      </c>
      <c r="G227" s="19" t="s">
        <v>781</v>
      </c>
      <c r="H227" s="19" t="s">
        <v>950</v>
      </c>
      <c r="I227" s="19" t="s">
        <v>951</v>
      </c>
      <c r="J227" s="19" t="s">
        <v>21</v>
      </c>
      <c r="K227" s="19" t="s">
        <v>6</v>
      </c>
      <c r="L227" s="19">
        <v>90015</v>
      </c>
      <c r="M227" s="19">
        <v>34.039600999999998</v>
      </c>
      <c r="N227" s="19">
        <v>-118.268484</v>
      </c>
      <c r="O227" s="19" t="s">
        <v>929</v>
      </c>
      <c r="P227" s="19" t="s">
        <v>1413</v>
      </c>
      <c r="Q227" s="19" t="s">
        <v>930</v>
      </c>
      <c r="R227" s="19" t="s">
        <v>21</v>
      </c>
      <c r="S227" s="19" t="s">
        <v>944</v>
      </c>
      <c r="T227" s="19" t="s">
        <v>945</v>
      </c>
      <c r="U227" s="19" t="s">
        <v>790</v>
      </c>
      <c r="V227" s="19" t="s">
        <v>782</v>
      </c>
      <c r="W227" s="20">
        <v>1</v>
      </c>
      <c r="X227" s="39">
        <v>2014</v>
      </c>
      <c r="Y227" s="39">
        <v>2015</v>
      </c>
      <c r="Z227" s="25">
        <v>42171</v>
      </c>
      <c r="AA227" s="19">
        <v>2018</v>
      </c>
      <c r="AB227" s="25">
        <v>42856</v>
      </c>
      <c r="AC227" s="19" t="s">
        <v>804</v>
      </c>
      <c r="AD227" s="19" t="s">
        <v>800</v>
      </c>
      <c r="AE227" s="21">
        <v>0</v>
      </c>
      <c r="AF227" s="19">
        <v>7</v>
      </c>
      <c r="AG227" s="19">
        <v>3</v>
      </c>
      <c r="AH227" s="19"/>
      <c r="AI227" s="19"/>
      <c r="AJ227" s="19"/>
      <c r="AK227" s="19"/>
      <c r="AL227" s="43" t="s">
        <v>65</v>
      </c>
      <c r="AM227" s="19">
        <v>0</v>
      </c>
      <c r="AN227" s="19" t="s">
        <v>1406</v>
      </c>
      <c r="AO227" s="19" t="s">
        <v>1528</v>
      </c>
      <c r="AP227" s="19" t="s">
        <v>1503</v>
      </c>
      <c r="AQ227" s="26">
        <f>IFERROR(PropInfo[[#This Row],[Yardi]]*1,PropInfo[[#This Row],[Yardi]])</f>
        <v>415</v>
      </c>
    </row>
    <row r="228" spans="1:43" x14ac:dyDescent="0.2">
      <c r="A228" s="43" t="s">
        <v>258</v>
      </c>
      <c r="B228" s="19" t="s">
        <v>259</v>
      </c>
      <c r="C228" s="37">
        <v>183</v>
      </c>
      <c r="D228" s="37">
        <v>179562</v>
      </c>
      <c r="E228" s="19" t="s" vm="152">
        <v>1368</v>
      </c>
      <c r="F228" s="19" t="s">
        <v>1409</v>
      </c>
      <c r="G228" s="19" t="s">
        <v>781</v>
      </c>
      <c r="H228" s="19" t="s">
        <v>259</v>
      </c>
      <c r="I228" s="19" t="s">
        <v>260</v>
      </c>
      <c r="J228" s="19" t="s">
        <v>9</v>
      </c>
      <c r="K228" s="19" t="s">
        <v>6</v>
      </c>
      <c r="L228" s="19">
        <v>95134</v>
      </c>
      <c r="M228" s="19">
        <v>37.412017300000002</v>
      </c>
      <c r="N228" s="19">
        <v>-121.9428638</v>
      </c>
      <c r="O228" s="19" t="s">
        <v>786</v>
      </c>
      <c r="P228" s="19" t="s">
        <v>1414</v>
      </c>
      <c r="Q228" s="19" t="s">
        <v>787</v>
      </c>
      <c r="R228" s="19" t="s">
        <v>5</v>
      </c>
      <c r="S228" s="19" t="s">
        <v>797</v>
      </c>
      <c r="T228" s="19" t="s">
        <v>798</v>
      </c>
      <c r="U228" s="19" t="s">
        <v>790</v>
      </c>
      <c r="V228" s="19" t="s">
        <v>817</v>
      </c>
      <c r="W228" s="20">
        <v>1</v>
      </c>
      <c r="X228" s="39">
        <v>2014</v>
      </c>
      <c r="Y228" s="39">
        <v>2015</v>
      </c>
      <c r="Z228" s="25">
        <v>42355</v>
      </c>
      <c r="AA228" s="19">
        <v>2017</v>
      </c>
      <c r="AB228" s="25">
        <v>42583</v>
      </c>
      <c r="AC228" s="19" t="s">
        <v>783</v>
      </c>
      <c r="AD228" s="19" t="s">
        <v>800</v>
      </c>
      <c r="AE228" s="21">
        <v>183</v>
      </c>
      <c r="AF228" s="19">
        <v>4</v>
      </c>
      <c r="AG228" s="19">
        <v>1</v>
      </c>
      <c r="AH228" s="19"/>
      <c r="AI228" s="19"/>
      <c r="AJ228" s="19"/>
      <c r="AK228" s="19"/>
      <c r="AL228" s="43" t="s">
        <v>258</v>
      </c>
      <c r="AM228" s="19">
        <v>0</v>
      </c>
      <c r="AN228" s="19" t="s">
        <v>1406</v>
      </c>
      <c r="AO228" s="19" t="s">
        <v>1568</v>
      </c>
      <c r="AP228" s="19">
        <v>37617</v>
      </c>
      <c r="AQ228" s="26">
        <f>IFERROR(PropInfo[[#This Row],[Yardi]]*1,PropInfo[[#This Row],[Yardi]])</f>
        <v>418</v>
      </c>
    </row>
    <row r="229" spans="1:43" x14ac:dyDescent="0.2">
      <c r="A229" s="43" t="s">
        <v>397</v>
      </c>
      <c r="B229" s="19" t="s">
        <v>398</v>
      </c>
      <c r="C229" s="37">
        <v>103</v>
      </c>
      <c r="D229" s="37">
        <v>92391</v>
      </c>
      <c r="E229" s="19" t="s" vm="219">
        <v>1368</v>
      </c>
      <c r="F229" s="19" t="s">
        <v>1409</v>
      </c>
      <c r="G229" s="19" t="s">
        <v>781</v>
      </c>
      <c r="H229" s="19" t="s">
        <v>398</v>
      </c>
      <c r="I229" s="19" t="s">
        <v>823</v>
      </c>
      <c r="J229" s="19" t="s">
        <v>9</v>
      </c>
      <c r="K229" s="19" t="s">
        <v>6</v>
      </c>
      <c r="L229" s="19">
        <v>95122</v>
      </c>
      <c r="M229" s="19">
        <v>37.351892999999997</v>
      </c>
      <c r="N229" s="19">
        <v>-121.893629</v>
      </c>
      <c r="O229" s="19" t="s">
        <v>786</v>
      </c>
      <c r="P229" s="19" t="s">
        <v>1414</v>
      </c>
      <c r="Q229" s="19" t="s">
        <v>787</v>
      </c>
      <c r="R229" s="19" t="s">
        <v>5</v>
      </c>
      <c r="S229" s="19" t="s">
        <v>797</v>
      </c>
      <c r="T229" s="19" t="s">
        <v>805</v>
      </c>
      <c r="U229" s="19" t="s">
        <v>790</v>
      </c>
      <c r="V229" s="19" t="s">
        <v>782</v>
      </c>
      <c r="W229" s="20">
        <v>1</v>
      </c>
      <c r="X229" s="39">
        <v>2015</v>
      </c>
      <c r="Y229" s="39">
        <v>2016</v>
      </c>
      <c r="Z229" s="25">
        <v>42375</v>
      </c>
      <c r="AA229" s="19">
        <v>2017</v>
      </c>
      <c r="AB229" s="25">
        <v>42430</v>
      </c>
      <c r="AC229" s="19" t="s">
        <v>783</v>
      </c>
      <c r="AD229" s="19" t="s">
        <v>800</v>
      </c>
      <c r="AE229" s="21">
        <v>0</v>
      </c>
      <c r="AF229" s="19">
        <v>4</v>
      </c>
      <c r="AG229" s="19">
        <v>1</v>
      </c>
      <c r="AH229" s="19"/>
      <c r="AI229" s="19"/>
      <c r="AJ229" s="19"/>
      <c r="AK229" s="19"/>
      <c r="AL229" s="43" t="s">
        <v>397</v>
      </c>
      <c r="AM229" s="19">
        <v>26</v>
      </c>
      <c r="AN229" s="19" t="s">
        <v>1403</v>
      </c>
      <c r="AO229" s="19" t="s">
        <v>1527</v>
      </c>
      <c r="AP229" s="19">
        <v>47094</v>
      </c>
      <c r="AQ229" s="26">
        <f>IFERROR(PropInfo[[#This Row],[Yardi]]*1,PropInfo[[#This Row],[Yardi]])</f>
        <v>419</v>
      </c>
    </row>
    <row r="230" spans="1:43" x14ac:dyDescent="0.2">
      <c r="A230" s="43" t="s">
        <v>289</v>
      </c>
      <c r="B230" s="19" t="s">
        <v>290</v>
      </c>
      <c r="C230" s="37">
        <v>242</v>
      </c>
      <c r="D230" s="37">
        <v>184241</v>
      </c>
      <c r="E230" s="19" t="s">
        <v>1369</v>
      </c>
      <c r="F230" s="19" t="s">
        <v>1409</v>
      </c>
      <c r="G230" s="19" t="s">
        <v>781</v>
      </c>
      <c r="H230" s="19" t="s">
        <v>290</v>
      </c>
      <c r="I230" s="19" t="s">
        <v>1073</v>
      </c>
      <c r="J230" s="19" t="s">
        <v>39</v>
      </c>
      <c r="K230" s="19" t="s">
        <v>6</v>
      </c>
      <c r="L230" s="19">
        <v>92101</v>
      </c>
      <c r="M230" s="19">
        <v>32.712153999999998</v>
      </c>
      <c r="N230" s="19">
        <v>-117.150881</v>
      </c>
      <c r="O230" s="19" t="s">
        <v>929</v>
      </c>
      <c r="P230" s="19" t="s">
        <v>1415</v>
      </c>
      <c r="Q230" s="19" t="s">
        <v>1052</v>
      </c>
      <c r="R230" s="19" t="s">
        <v>39</v>
      </c>
      <c r="S230" s="19" t="s">
        <v>1071</v>
      </c>
      <c r="T230" s="19" t="s">
        <v>1072</v>
      </c>
      <c r="U230" s="19" t="s">
        <v>790</v>
      </c>
      <c r="V230" s="19" t="s">
        <v>782</v>
      </c>
      <c r="W230" s="20">
        <v>1</v>
      </c>
      <c r="X230" s="39">
        <v>2014</v>
      </c>
      <c r="Y230" s="39">
        <v>2016</v>
      </c>
      <c r="Z230" s="25">
        <v>42452</v>
      </c>
      <c r="AA230" s="19">
        <v>2017</v>
      </c>
      <c r="AB230" s="25">
        <v>42522</v>
      </c>
      <c r="AC230" s="19" t="s">
        <v>804</v>
      </c>
      <c r="AD230" s="19" t="s">
        <v>800</v>
      </c>
      <c r="AE230" s="21">
        <v>0</v>
      </c>
      <c r="AF230" s="19">
        <v>6</v>
      </c>
      <c r="AG230" s="19">
        <v>1</v>
      </c>
      <c r="AH230" s="19"/>
      <c r="AI230" s="19"/>
      <c r="AJ230" s="19"/>
      <c r="AK230" s="19"/>
      <c r="AL230" s="43" t="s">
        <v>289</v>
      </c>
      <c r="AM230" s="19">
        <v>0</v>
      </c>
      <c r="AN230" s="19" t="s">
        <v>1406</v>
      </c>
      <c r="AO230" s="19" t="s">
        <v>1356</v>
      </c>
      <c r="AP230" s="19">
        <v>35697</v>
      </c>
      <c r="AQ230" s="26">
        <f>IFERROR(PropInfo[[#This Row],[Yardi]]*1,PropInfo[[#This Row],[Yardi]])</f>
        <v>420</v>
      </c>
    </row>
    <row r="231" spans="1:43" hidden="1" x14ac:dyDescent="0.2">
      <c r="A231" s="43" t="s">
        <v>1197</v>
      </c>
      <c r="B231" s="19" t="s">
        <v>1198</v>
      </c>
      <c r="C231" s="37">
        <v>1</v>
      </c>
      <c r="D231" s="37">
        <v>5834</v>
      </c>
      <c r="E231" s="19" t="s">
        <v>762</v>
      </c>
      <c r="F231" s="19" t="s">
        <v>1409</v>
      </c>
      <c r="G231" s="19" t="s">
        <v>835</v>
      </c>
      <c r="H231" s="19" t="s">
        <v>449</v>
      </c>
      <c r="I231" s="19" t="s">
        <v>1104</v>
      </c>
      <c r="J231" s="19" t="s">
        <v>91</v>
      </c>
      <c r="K231" s="19" t="s">
        <v>27</v>
      </c>
      <c r="L231" s="19">
        <v>98005</v>
      </c>
      <c r="M231" s="19">
        <v>47.607143000000001</v>
      </c>
      <c r="N231" s="19">
        <v>-122.18125999999999</v>
      </c>
      <c r="O231" s="19" t="s">
        <v>1090</v>
      </c>
      <c r="P231" s="19" t="s">
        <v>1412</v>
      </c>
      <c r="Q231" s="19" t="s">
        <v>1091</v>
      </c>
      <c r="R231" s="19" t="s">
        <v>1092</v>
      </c>
      <c r="S231" s="19" t="s">
        <v>1093</v>
      </c>
      <c r="T231" s="19" t="s">
        <v>1100</v>
      </c>
      <c r="U231" s="19" t="s">
        <v>820</v>
      </c>
      <c r="V231" s="19" t="s">
        <v>782</v>
      </c>
      <c r="W231" s="20">
        <v>1</v>
      </c>
      <c r="X231" s="39">
        <v>1993</v>
      </c>
      <c r="Y231" s="39">
        <v>2014</v>
      </c>
      <c r="Z231" s="25">
        <v>41730</v>
      </c>
      <c r="AA231" s="19">
        <v>2005</v>
      </c>
      <c r="AB231" s="25">
        <v>38078</v>
      </c>
      <c r="AC231" s="19" t="s">
        <v>804</v>
      </c>
      <c r="AD231" s="19" t="s">
        <v>784</v>
      </c>
      <c r="AE231" s="21">
        <v>0</v>
      </c>
      <c r="AF231" s="19">
        <v>4</v>
      </c>
      <c r="AG231" s="19">
        <v>16</v>
      </c>
      <c r="AH231" s="19" t="s">
        <v>792</v>
      </c>
      <c r="AI231" s="19"/>
      <c r="AJ231" s="19"/>
      <c r="AK231" s="19"/>
      <c r="AL231" s="43" t="e">
        <v>#N/A</v>
      </c>
      <c r="AM231" s="19" t="e">
        <v>#N/A</v>
      </c>
      <c r="AN231" s="19" t="e">
        <v>#N/A</v>
      </c>
      <c r="AO231" s="19" t="s">
        <v>1565</v>
      </c>
      <c r="AP231" s="19">
        <v>0</v>
      </c>
      <c r="AQ231" s="26" t="str">
        <f>IFERROR(PropInfo[[#This Row],[Yardi]]*1,PropInfo[[#This Row],[Yardi]])</f>
        <v>pnw2159</v>
      </c>
    </row>
    <row r="232" spans="1:43" x14ac:dyDescent="0.2">
      <c r="A232" s="43" t="s">
        <v>62</v>
      </c>
      <c r="B232" s="19" t="s">
        <v>63</v>
      </c>
      <c r="C232" s="37">
        <v>264</v>
      </c>
      <c r="D232" s="37">
        <v>296134</v>
      </c>
      <c r="E232" s="19" t="s" vm="135">
        <v>1368</v>
      </c>
      <c r="F232" s="19" t="s">
        <v>1409</v>
      </c>
      <c r="G232" s="19" t="s">
        <v>781</v>
      </c>
      <c r="H232" s="19" t="s">
        <v>63</v>
      </c>
      <c r="I232" s="19" t="s">
        <v>64</v>
      </c>
      <c r="J232" s="19" t="s">
        <v>36</v>
      </c>
      <c r="K232" s="19" t="s">
        <v>6</v>
      </c>
      <c r="L232" s="19">
        <v>91607</v>
      </c>
      <c r="M232" s="19">
        <v>34.157958299999997</v>
      </c>
      <c r="N232" s="19">
        <v>-118.410802</v>
      </c>
      <c r="O232" s="19" t="s">
        <v>929</v>
      </c>
      <c r="P232" s="19" t="s">
        <v>1413</v>
      </c>
      <c r="Q232" s="19" t="s">
        <v>930</v>
      </c>
      <c r="R232" s="19" t="s">
        <v>21</v>
      </c>
      <c r="S232" s="19" t="s">
        <v>931</v>
      </c>
      <c r="T232" s="19" t="s">
        <v>991</v>
      </c>
      <c r="U232" s="19" t="s">
        <v>790</v>
      </c>
      <c r="V232" s="19" t="s">
        <v>817</v>
      </c>
      <c r="W232" s="20">
        <v>1</v>
      </c>
      <c r="X232" s="39">
        <v>2013</v>
      </c>
      <c r="Y232" s="39">
        <v>2016</v>
      </c>
      <c r="Z232" s="25">
        <v>42713</v>
      </c>
      <c r="AA232" s="19">
        <v>2018</v>
      </c>
      <c r="AB232" s="25">
        <v>43009</v>
      </c>
      <c r="AC232" s="19" t="s">
        <v>783</v>
      </c>
      <c r="AD232" s="19" t="s">
        <v>800</v>
      </c>
      <c r="AE232" s="21">
        <v>0</v>
      </c>
      <c r="AF232" s="19">
        <v>5</v>
      </c>
      <c r="AG232" s="19">
        <v>2</v>
      </c>
      <c r="AH232" s="19"/>
      <c r="AI232" s="19"/>
      <c r="AJ232" s="19"/>
      <c r="AK232" s="19"/>
      <c r="AL232" s="43" t="s">
        <v>62</v>
      </c>
      <c r="AM232" s="19">
        <v>7</v>
      </c>
      <c r="AN232" s="19" t="s">
        <v>1403</v>
      </c>
      <c r="AO232" s="19" t="s">
        <v>1360</v>
      </c>
      <c r="AP232" s="19" t="s">
        <v>1502</v>
      </c>
      <c r="AQ232" s="26">
        <f>IFERROR(PropInfo[[#This Row],[Yardi]]*1,PropInfo[[#This Row],[Yardi]])</f>
        <v>422</v>
      </c>
    </row>
    <row r="233" spans="1:43" x14ac:dyDescent="0.2">
      <c r="A233" s="43" t="s">
        <v>250</v>
      </c>
      <c r="B233" s="19" t="s">
        <v>251</v>
      </c>
      <c r="C233" s="37">
        <v>144</v>
      </c>
      <c r="D233" s="37">
        <v>179062</v>
      </c>
      <c r="E233" s="19" t="s" vm="155">
        <v>1368</v>
      </c>
      <c r="F233" s="19" t="s">
        <v>1409</v>
      </c>
      <c r="G233" s="19" t="s">
        <v>781</v>
      </c>
      <c r="H233" s="19" t="s">
        <v>251</v>
      </c>
      <c r="I233" s="19" t="s">
        <v>252</v>
      </c>
      <c r="J233" s="19" t="s">
        <v>36</v>
      </c>
      <c r="K233" s="19" t="s">
        <v>6</v>
      </c>
      <c r="L233" s="19">
        <v>91607</v>
      </c>
      <c r="M233" s="19">
        <v>34.156956000000001</v>
      </c>
      <c r="N233" s="19">
        <v>-118.39487200000001</v>
      </c>
      <c r="O233" s="19" t="s">
        <v>929</v>
      </c>
      <c r="P233" s="19" t="s">
        <v>1413</v>
      </c>
      <c r="Q233" s="19" t="s">
        <v>930</v>
      </c>
      <c r="R233" s="19" t="s">
        <v>21</v>
      </c>
      <c r="S233" s="19" t="s">
        <v>931</v>
      </c>
      <c r="T233" s="19" t="s">
        <v>991</v>
      </c>
      <c r="U233" s="19" t="s">
        <v>790</v>
      </c>
      <c r="V233" s="19" t="s">
        <v>817</v>
      </c>
      <c r="W233" s="20">
        <v>1</v>
      </c>
      <c r="X233" s="39">
        <v>2011</v>
      </c>
      <c r="Y233" s="39">
        <v>2016</v>
      </c>
      <c r="Z233" s="25">
        <v>42713</v>
      </c>
      <c r="AA233" s="19">
        <v>2018</v>
      </c>
      <c r="AB233" s="25">
        <v>42736</v>
      </c>
      <c r="AC233" s="19" t="s">
        <v>783</v>
      </c>
      <c r="AD233" s="19" t="s">
        <v>800</v>
      </c>
      <c r="AE233" s="21">
        <v>96</v>
      </c>
      <c r="AF233" s="19">
        <v>3</v>
      </c>
      <c r="AG233" s="19">
        <v>2</v>
      </c>
      <c r="AH233" s="19"/>
      <c r="AI233" s="19" t="s">
        <v>1392</v>
      </c>
      <c r="AJ233" s="19">
        <v>4</v>
      </c>
      <c r="AK233" s="19">
        <v>2041</v>
      </c>
      <c r="AL233" s="43" t="s">
        <v>250</v>
      </c>
      <c r="AM233" s="19">
        <v>7</v>
      </c>
      <c r="AN233" s="19" t="s">
        <v>1403</v>
      </c>
      <c r="AO233" s="19" t="s">
        <v>1360</v>
      </c>
      <c r="AP233" s="19">
        <v>38554</v>
      </c>
      <c r="AQ233" s="26">
        <f>IFERROR(PropInfo[[#This Row],[Yardi]]*1,PropInfo[[#This Row],[Yardi]])</f>
        <v>423</v>
      </c>
    </row>
    <row r="234" spans="1:43" x14ac:dyDescent="0.2">
      <c r="A234" s="46" t="s">
        <v>1572</v>
      </c>
      <c r="B234" s="30" t="s">
        <v>1570</v>
      </c>
      <c r="C234" s="30">
        <v>308</v>
      </c>
      <c r="D234" s="38"/>
      <c r="E234" s="31" t="s">
        <v>806</v>
      </c>
      <c r="F234" s="31" t="s">
        <v>1409</v>
      </c>
      <c r="G234" s="30" t="s">
        <v>781</v>
      </c>
      <c r="H234" s="19" t="s">
        <v>1570</v>
      </c>
      <c r="I234" s="32" t="s">
        <v>1573</v>
      </c>
      <c r="J234" s="32" t="s">
        <v>26</v>
      </c>
      <c r="K234" s="32" t="s">
        <v>27</v>
      </c>
      <c r="L234" s="32"/>
      <c r="M234" s="32"/>
      <c r="N234" s="32"/>
      <c r="O234" s="30" t="s">
        <v>1090</v>
      </c>
      <c r="P234" s="31" t="s">
        <v>1412</v>
      </c>
      <c r="Q234" s="30"/>
      <c r="R234" s="30" t="s">
        <v>1092</v>
      </c>
      <c r="S234" s="30"/>
      <c r="T234" s="30"/>
      <c r="U234" s="30" t="s">
        <v>790</v>
      </c>
      <c r="V234" s="30"/>
      <c r="W234" s="33">
        <v>1</v>
      </c>
      <c r="X234" s="31" t="s">
        <v>1571</v>
      </c>
      <c r="Y234" s="31">
        <v>2019</v>
      </c>
      <c r="Z234" s="34">
        <v>43781</v>
      </c>
      <c r="AA234" s="31"/>
      <c r="AB234" s="34"/>
      <c r="AC234" s="30" t="s">
        <v>804</v>
      </c>
      <c r="AD234" s="30" t="s">
        <v>800</v>
      </c>
      <c r="AE234" s="35"/>
      <c r="AF234" s="30"/>
      <c r="AG234" s="30"/>
      <c r="AH234" s="30"/>
      <c r="AI234" s="19" t="s">
        <v>1377</v>
      </c>
      <c r="AJ234" s="30">
        <v>62</v>
      </c>
      <c r="AK234" s="30"/>
      <c r="AL234" s="44" t="s">
        <v>1572</v>
      </c>
      <c r="AM234" s="31"/>
      <c r="AN234" s="31"/>
      <c r="AO234" s="31" t="s">
        <v>1365</v>
      </c>
      <c r="AP234" s="31"/>
      <c r="AQ234" s="26">
        <f>IFERROR(PropInfo[[#This Row],[Yardi]]*1,PropInfo[[#This Row],[Yardi]])</f>
        <v>424</v>
      </c>
    </row>
    <row r="235" spans="1:43" x14ac:dyDescent="0.2">
      <c r="A235" s="46" t="s">
        <v>1557</v>
      </c>
      <c r="B235" s="30" t="s">
        <v>1549</v>
      </c>
      <c r="C235" s="38">
        <v>331</v>
      </c>
      <c r="D235" s="38">
        <v>294398</v>
      </c>
      <c r="E235" s="31" t="s">
        <v>806</v>
      </c>
      <c r="F235" s="31" t="s">
        <v>1409</v>
      </c>
      <c r="G235" s="30" t="s">
        <v>781</v>
      </c>
      <c r="H235" s="19" t="s">
        <v>1549</v>
      </c>
      <c r="I235" s="32" t="s">
        <v>1550</v>
      </c>
      <c r="J235" s="32" t="s">
        <v>69</v>
      </c>
      <c r="K235" s="32" t="s">
        <v>6</v>
      </c>
      <c r="L235" s="19">
        <v>94608</v>
      </c>
      <c r="M235" s="19">
        <v>37.846310000000003</v>
      </c>
      <c r="N235" s="19">
        <v>-122.29300000000001</v>
      </c>
      <c r="O235" s="30" t="s">
        <v>786</v>
      </c>
      <c r="P235" s="31" t="s">
        <v>1414</v>
      </c>
      <c r="Q235" s="30" t="s">
        <v>853</v>
      </c>
      <c r="R235" s="30" t="s">
        <v>854</v>
      </c>
      <c r="S235" s="19" t="s">
        <v>855</v>
      </c>
      <c r="T235" s="19" t="s">
        <v>856</v>
      </c>
      <c r="U235" s="30" t="s">
        <v>790</v>
      </c>
      <c r="V235" s="30" t="s">
        <v>806</v>
      </c>
      <c r="W235" s="33">
        <v>0.5</v>
      </c>
      <c r="X235" s="39">
        <v>2004</v>
      </c>
      <c r="Y235" s="39">
        <v>2019</v>
      </c>
      <c r="Z235" s="25">
        <v>43686</v>
      </c>
      <c r="AA235" s="31">
        <v>2019</v>
      </c>
      <c r="AB235" s="34">
        <v>43686</v>
      </c>
      <c r="AC235" s="30" t="s">
        <v>804</v>
      </c>
      <c r="AD235" s="30" t="s">
        <v>796</v>
      </c>
      <c r="AE235" s="35"/>
      <c r="AF235" s="30">
        <v>4</v>
      </c>
      <c r="AG235" s="30">
        <v>1</v>
      </c>
      <c r="AH235" s="30"/>
      <c r="AI235" s="30"/>
      <c r="AJ235" s="30">
        <v>63</v>
      </c>
      <c r="AK235" s="30"/>
      <c r="AL235" s="44" t="s">
        <v>1557</v>
      </c>
      <c r="AM235" s="31"/>
      <c r="AN235" s="31"/>
      <c r="AO235" s="19" t="s">
        <v>1585</v>
      </c>
      <c r="AP235" s="31"/>
      <c r="AQ235" s="26"/>
    </row>
    <row r="236" spans="1:43" x14ac:dyDescent="0.2">
      <c r="A236" s="43" t="s">
        <v>12</v>
      </c>
      <c r="B236" s="19" t="s">
        <v>13</v>
      </c>
      <c r="C236" s="37">
        <v>213</v>
      </c>
      <c r="D236" s="37">
        <v>281108</v>
      </c>
      <c r="E236" s="19" t="s" vm="220">
        <v>806</v>
      </c>
      <c r="F236" s="19" t="s">
        <v>1409</v>
      </c>
      <c r="G236" s="19" t="s">
        <v>781</v>
      </c>
      <c r="H236" s="19" t="s">
        <v>13</v>
      </c>
      <c r="I236" s="19" t="s">
        <v>807</v>
      </c>
      <c r="J236" s="19" t="s">
        <v>9</v>
      </c>
      <c r="K236" s="19" t="s">
        <v>6</v>
      </c>
      <c r="L236" s="19">
        <v>95113</v>
      </c>
      <c r="M236" s="19">
        <v>37.330255000000001</v>
      </c>
      <c r="N236" s="19">
        <v>-121.887168</v>
      </c>
      <c r="O236" s="19" t="s">
        <v>786</v>
      </c>
      <c r="P236" s="19" t="s">
        <v>1414</v>
      </c>
      <c r="Q236" s="19" t="s">
        <v>787</v>
      </c>
      <c r="R236" s="19" t="s">
        <v>5</v>
      </c>
      <c r="S236" s="19" t="s">
        <v>797</v>
      </c>
      <c r="T236" s="19" t="s">
        <v>805</v>
      </c>
      <c r="U236" s="19" t="s">
        <v>790</v>
      </c>
      <c r="V236" s="19" t="s">
        <v>806</v>
      </c>
      <c r="W236" s="20">
        <v>0.5</v>
      </c>
      <c r="X236" s="39">
        <v>2010</v>
      </c>
      <c r="Y236" s="39">
        <v>2017</v>
      </c>
      <c r="Z236" s="25">
        <v>42969</v>
      </c>
      <c r="AA236" s="19">
        <v>2019</v>
      </c>
      <c r="AB236" s="25">
        <v>43313</v>
      </c>
      <c r="AC236" s="19" t="s">
        <v>804</v>
      </c>
      <c r="AD236" s="19" t="s">
        <v>808</v>
      </c>
      <c r="AE236" s="21">
        <v>213</v>
      </c>
      <c r="AF236" s="19">
        <v>23</v>
      </c>
      <c r="AG236" s="19">
        <v>1</v>
      </c>
      <c r="AH236" s="19" t="s">
        <v>809</v>
      </c>
      <c r="AI236" s="19"/>
      <c r="AJ236" s="19"/>
      <c r="AK236" s="19"/>
      <c r="AL236" s="43" t="s">
        <v>12</v>
      </c>
      <c r="AM236" s="19">
        <v>0</v>
      </c>
      <c r="AN236" s="19" t="s">
        <v>1406</v>
      </c>
      <c r="AO236" s="19" t="s">
        <v>1352</v>
      </c>
      <c r="AP236" s="19">
        <v>35842</v>
      </c>
      <c r="AQ236" s="26">
        <f>IFERROR(PropInfo[[#This Row],[Yardi]]*1,PropInfo[[#This Row],[Yardi]])</f>
        <v>463</v>
      </c>
    </row>
    <row r="237" spans="1:43" x14ac:dyDescent="0.2">
      <c r="A237" s="43" t="s">
        <v>24</v>
      </c>
      <c r="B237" s="19" t="s">
        <v>25</v>
      </c>
      <c r="C237" s="37">
        <v>211</v>
      </c>
      <c r="D237" s="37">
        <v>161362</v>
      </c>
      <c r="E237" s="19" t="s" vm="94">
        <v>806</v>
      </c>
      <c r="F237" s="19" t="s">
        <v>1409</v>
      </c>
      <c r="G237" s="19" t="s">
        <v>781</v>
      </c>
      <c r="H237" s="19" t="s">
        <v>25</v>
      </c>
      <c r="I237" s="19" t="s">
        <v>1137</v>
      </c>
      <c r="J237" s="19" t="s">
        <v>26</v>
      </c>
      <c r="K237" s="19" t="s">
        <v>27</v>
      </c>
      <c r="L237" s="19">
        <v>98109</v>
      </c>
      <c r="M237" s="19">
        <v>47.62274</v>
      </c>
      <c r="N237" s="19">
        <v>-122.340722</v>
      </c>
      <c r="O237" s="19" t="s">
        <v>1090</v>
      </c>
      <c r="P237" s="19" t="s">
        <v>1412</v>
      </c>
      <c r="Q237" s="19" t="s">
        <v>1091</v>
      </c>
      <c r="R237" s="19" t="s">
        <v>1092</v>
      </c>
      <c r="S237" s="19" t="s">
        <v>1134</v>
      </c>
      <c r="T237" s="19" t="s">
        <v>1138</v>
      </c>
      <c r="U237" s="19" t="s">
        <v>790</v>
      </c>
      <c r="V237" s="19" t="s">
        <v>806</v>
      </c>
      <c r="W237" s="20">
        <v>0.5</v>
      </c>
      <c r="X237" s="39">
        <v>2016</v>
      </c>
      <c r="Y237" s="39">
        <v>2017</v>
      </c>
      <c r="Z237" s="25">
        <v>42965</v>
      </c>
      <c r="AA237" s="19">
        <v>2019</v>
      </c>
      <c r="AB237" s="25">
        <v>43160</v>
      </c>
      <c r="AC237" s="19" t="s">
        <v>804</v>
      </c>
      <c r="AD237" s="19" t="s">
        <v>808</v>
      </c>
      <c r="AE237" s="21" t="s">
        <v>1494</v>
      </c>
      <c r="AF237" s="19">
        <v>8</v>
      </c>
      <c r="AG237" s="19">
        <v>1</v>
      </c>
      <c r="AH237" s="19" t="s">
        <v>792</v>
      </c>
      <c r="AI237" s="19"/>
      <c r="AJ237" s="19"/>
      <c r="AK237" s="19"/>
      <c r="AL237" s="43" t="s">
        <v>24</v>
      </c>
      <c r="AM237" s="19">
        <v>0</v>
      </c>
      <c r="AN237" s="19" t="s">
        <v>1406</v>
      </c>
      <c r="AO237" s="19" t="s">
        <v>1351</v>
      </c>
      <c r="AP237" s="19">
        <v>0</v>
      </c>
      <c r="AQ237" s="26">
        <f>IFERROR(PropInfo[[#This Row],[Yardi]]*1,PropInfo[[#This Row],[Yardi]])</f>
        <v>465</v>
      </c>
    </row>
    <row r="238" spans="1:43" hidden="1" x14ac:dyDescent="0.2">
      <c r="A238" s="43" t="s">
        <v>357</v>
      </c>
      <c r="B238" s="19" t="s">
        <v>1237</v>
      </c>
      <c r="C238" s="37">
        <v>12</v>
      </c>
      <c r="D238" s="37">
        <v>28006</v>
      </c>
      <c r="E238" s="19" t="s">
        <v>762</v>
      </c>
      <c r="F238" s="19" t="s">
        <v>1409</v>
      </c>
      <c r="G238" s="19" t="s">
        <v>835</v>
      </c>
      <c r="H238" s="19" t="s">
        <v>1236</v>
      </c>
      <c r="I238" s="19" t="s">
        <v>1143</v>
      </c>
      <c r="J238" s="19" t="s">
        <v>26</v>
      </c>
      <c r="K238" s="19" t="s">
        <v>27</v>
      </c>
      <c r="L238" s="19">
        <v>98102</v>
      </c>
      <c r="M238" s="19">
        <v>47.623694999999998</v>
      </c>
      <c r="N238" s="19">
        <v>-122.321487</v>
      </c>
      <c r="O238" s="19" t="s">
        <v>1090</v>
      </c>
      <c r="P238" s="19" t="s">
        <v>1412</v>
      </c>
      <c r="Q238" s="19" t="s">
        <v>1091</v>
      </c>
      <c r="R238" s="19" t="s">
        <v>1092</v>
      </c>
      <c r="S238" s="19" t="s">
        <v>1134</v>
      </c>
      <c r="T238" s="19" t="s">
        <v>1142</v>
      </c>
      <c r="U238" s="19" t="s">
        <v>779</v>
      </c>
      <c r="V238" s="19" t="s">
        <v>802</v>
      </c>
      <c r="W238" s="20">
        <v>1</v>
      </c>
      <c r="X238" s="39">
        <v>2010</v>
      </c>
      <c r="Y238" s="39">
        <v>2008</v>
      </c>
      <c r="Z238" s="25">
        <v>39583</v>
      </c>
      <c r="AA238" s="19">
        <v>2012</v>
      </c>
      <c r="AB238" s="25">
        <v>40575</v>
      </c>
      <c r="AC238" s="19" t="s">
        <v>804</v>
      </c>
      <c r="AD238" s="19" t="s">
        <v>800</v>
      </c>
      <c r="AE238" s="21">
        <v>0</v>
      </c>
      <c r="AF238" s="19">
        <v>6</v>
      </c>
      <c r="AG238" s="19">
        <v>1</v>
      </c>
      <c r="AH238" s="19" t="s">
        <v>792</v>
      </c>
      <c r="AI238" s="19"/>
      <c r="AJ238" s="19"/>
      <c r="AK238" s="19"/>
      <c r="AL238" s="43" t="e">
        <v>#N/A</v>
      </c>
      <c r="AM238" s="19" t="e">
        <v>#N/A</v>
      </c>
      <c r="AN238" s="19" t="e">
        <v>#N/A</v>
      </c>
      <c r="AO238" s="19" t="s">
        <v>1565</v>
      </c>
      <c r="AP238" s="19">
        <v>0</v>
      </c>
      <c r="AQ238" s="26">
        <f>IFERROR(PropInfo[[#This Row],[Yardi]]*1,PropInfo[[#This Row],[Yardi]])</f>
        <v>222</v>
      </c>
    </row>
    <row r="239" spans="1:43" x14ac:dyDescent="0.2">
      <c r="A239" s="43" t="s">
        <v>1487</v>
      </c>
      <c r="B239" s="19" t="s">
        <v>1485</v>
      </c>
      <c r="C239" s="37">
        <v>218</v>
      </c>
      <c r="D239" s="37">
        <v>184148</v>
      </c>
      <c r="E239" s="19" t="s" vm="94">
        <v>806</v>
      </c>
      <c r="F239" s="19" t="s">
        <v>1409</v>
      </c>
      <c r="G239" s="19" t="s">
        <v>781</v>
      </c>
      <c r="H239" s="19" t="s">
        <v>1485</v>
      </c>
      <c r="I239" s="19" t="s">
        <v>1490</v>
      </c>
      <c r="J239" s="19" t="s">
        <v>9</v>
      </c>
      <c r="K239" s="19" t="s">
        <v>6</v>
      </c>
      <c r="L239" s="19">
        <v>95126</v>
      </c>
      <c r="M239" s="19">
        <v>37.323028299999997</v>
      </c>
      <c r="N239" s="19">
        <v>-121.91660950000001</v>
      </c>
      <c r="O239" s="19" t="s">
        <v>786</v>
      </c>
      <c r="P239" s="19" t="s">
        <v>1414</v>
      </c>
      <c r="Q239" s="19" t="s">
        <v>787</v>
      </c>
      <c r="R239" s="19" t="s">
        <v>5</v>
      </c>
      <c r="S239" s="19" t="s">
        <v>797</v>
      </c>
      <c r="T239" s="19" t="s">
        <v>805</v>
      </c>
      <c r="U239" s="19" t="s">
        <v>790</v>
      </c>
      <c r="V239" s="19" t="s">
        <v>802</v>
      </c>
      <c r="W239" s="20">
        <v>0.5</v>
      </c>
      <c r="X239" s="39">
        <v>2015</v>
      </c>
      <c r="Y239" s="39">
        <v>2018</v>
      </c>
      <c r="Z239" s="25">
        <v>43376</v>
      </c>
      <c r="AA239" s="28"/>
      <c r="AB239" s="29"/>
      <c r="AC239" s="19" t="s">
        <v>804</v>
      </c>
      <c r="AD239" s="19" t="s">
        <v>917</v>
      </c>
      <c r="AE239" s="21">
        <v>0</v>
      </c>
      <c r="AF239" s="19">
        <v>5</v>
      </c>
      <c r="AG239" s="19">
        <v>1</v>
      </c>
      <c r="AH239" s="19" t="s">
        <v>792</v>
      </c>
      <c r="AI239" s="19"/>
      <c r="AJ239" s="19"/>
      <c r="AK239" s="19"/>
      <c r="AL239" s="43" t="s">
        <v>1487</v>
      </c>
      <c r="AM239" s="19">
        <v>0</v>
      </c>
      <c r="AN239" s="19" t="s">
        <v>1406</v>
      </c>
      <c r="AO239" s="19" t="s">
        <v>1525</v>
      </c>
      <c r="AP239" s="19">
        <v>37438</v>
      </c>
      <c r="AQ239" s="26">
        <f>IFERROR(PropInfo[[#This Row],[Yardi]]*1,PropInfo[[#This Row],[Yardi]])</f>
        <v>468</v>
      </c>
    </row>
    <row r="240" spans="1:43" hidden="1" x14ac:dyDescent="0.2">
      <c r="A240" s="44">
        <v>484</v>
      </c>
      <c r="B240" s="30" t="s">
        <v>1590</v>
      </c>
      <c r="C240" s="30">
        <v>269</v>
      </c>
      <c r="D240" s="38"/>
      <c r="E240" s="31"/>
      <c r="F240" s="31" t="s">
        <v>1410</v>
      </c>
      <c r="G240" s="30"/>
      <c r="H240" s="19"/>
      <c r="I240" s="32"/>
      <c r="J240" s="32"/>
      <c r="K240" s="32"/>
      <c r="L240" s="32"/>
      <c r="M240" s="32"/>
      <c r="N240" s="32"/>
      <c r="O240" s="30" t="s">
        <v>786</v>
      </c>
      <c r="P240" s="31" t="s">
        <v>1414</v>
      </c>
      <c r="Q240" s="30"/>
      <c r="R240" s="30" t="s">
        <v>5</v>
      </c>
      <c r="S240" s="30" t="s">
        <v>797</v>
      </c>
      <c r="T240" s="30"/>
      <c r="U240" s="30"/>
      <c r="V240" s="30"/>
      <c r="W240" s="33"/>
      <c r="X240" s="31">
        <v>2020</v>
      </c>
      <c r="Y240" s="31">
        <v>2017</v>
      </c>
      <c r="Z240" s="34"/>
      <c r="AA240" s="31"/>
      <c r="AB240" s="34"/>
      <c r="AC240" s="30"/>
      <c r="AD240" s="30" t="s">
        <v>800</v>
      </c>
      <c r="AE240" s="35"/>
      <c r="AF240" s="30"/>
      <c r="AG240" s="30"/>
      <c r="AH240" s="30"/>
      <c r="AI240" s="30"/>
      <c r="AJ240" s="30"/>
      <c r="AK240" s="30"/>
      <c r="AL240" s="44"/>
      <c r="AM240" s="31"/>
      <c r="AN240" s="31"/>
      <c r="AO240" s="31"/>
      <c r="AP240" s="31"/>
      <c r="AQ240" s="26">
        <f>IFERROR(PropInfo[[#This Row],[Yardi]]*1,PropInfo[[#This Row],[Yardi]])</f>
        <v>484</v>
      </c>
    </row>
    <row r="241" spans="1:43" x14ac:dyDescent="0.2">
      <c r="A241" s="43" t="s">
        <v>1488</v>
      </c>
      <c r="B241" s="19" t="s">
        <v>1486</v>
      </c>
      <c r="C241" s="37">
        <v>218</v>
      </c>
      <c r="D241" s="37">
        <v>14148</v>
      </c>
      <c r="E241" s="19" t="s" vm="94">
        <v>806</v>
      </c>
      <c r="F241" s="19" t="s">
        <v>1409</v>
      </c>
      <c r="G241" s="19" t="s">
        <v>835</v>
      </c>
      <c r="H241" s="19" t="s">
        <v>1485</v>
      </c>
      <c r="I241" s="19" t="s">
        <v>1490</v>
      </c>
      <c r="J241" s="19" t="s">
        <v>9</v>
      </c>
      <c r="K241" s="19" t="s">
        <v>6</v>
      </c>
      <c r="L241" s="19">
        <v>95126</v>
      </c>
      <c r="M241" s="19">
        <v>37.323028299999997</v>
      </c>
      <c r="N241" s="19">
        <v>-121.91660950000001</v>
      </c>
      <c r="O241" s="19" t="s">
        <v>786</v>
      </c>
      <c r="P241" s="19" t="s">
        <v>1414</v>
      </c>
      <c r="Q241" s="19" t="s">
        <v>787</v>
      </c>
      <c r="R241" s="19" t="s">
        <v>5</v>
      </c>
      <c r="S241" s="19" t="s">
        <v>797</v>
      </c>
      <c r="T241" s="19" t="s">
        <v>805</v>
      </c>
      <c r="U241" s="19" t="s">
        <v>790</v>
      </c>
      <c r="V241" s="19" t="s">
        <v>802</v>
      </c>
      <c r="W241" s="20">
        <v>0.5</v>
      </c>
      <c r="X241" s="39">
        <v>2015</v>
      </c>
      <c r="Y241" s="39">
        <v>2018</v>
      </c>
      <c r="Z241" s="25">
        <v>43376</v>
      </c>
      <c r="AA241" s="28"/>
      <c r="AB241" s="29"/>
      <c r="AC241" s="19" t="s">
        <v>804</v>
      </c>
      <c r="AD241" s="19" t="s">
        <v>917</v>
      </c>
      <c r="AE241" s="21">
        <v>0</v>
      </c>
      <c r="AF241" s="19">
        <v>5</v>
      </c>
      <c r="AG241" s="19">
        <v>1</v>
      </c>
      <c r="AH241" s="19" t="s">
        <v>792</v>
      </c>
      <c r="AI241" s="19"/>
      <c r="AJ241" s="19"/>
      <c r="AK241" s="19"/>
      <c r="AL241" s="43" t="s">
        <v>1488</v>
      </c>
      <c r="AM241" s="19">
        <v>0</v>
      </c>
      <c r="AN241" s="19" t="s">
        <v>1406</v>
      </c>
      <c r="AO241" s="19" t="s">
        <v>1565</v>
      </c>
      <c r="AP241" s="19" t="e">
        <v>#N/A</v>
      </c>
      <c r="AQ241" s="26">
        <f>IFERROR(PropInfo[[#This Row],[Yardi]]*1,PropInfo[[#This Row],[Yardi]])</f>
        <v>469</v>
      </c>
    </row>
    <row r="242" spans="1:43" x14ac:dyDescent="0.2">
      <c r="A242" s="46" t="s">
        <v>1519</v>
      </c>
      <c r="B242" s="30" t="s">
        <v>1520</v>
      </c>
      <c r="C242" s="37">
        <v>300</v>
      </c>
      <c r="D242" s="38">
        <v>248354</v>
      </c>
      <c r="E242" s="31" t="s">
        <v>1369</v>
      </c>
      <c r="F242" s="31" t="s">
        <v>1409</v>
      </c>
      <c r="G242" s="30" t="s">
        <v>781</v>
      </c>
      <c r="H242" s="19" t="s">
        <v>1520</v>
      </c>
      <c r="I242" s="32" t="s">
        <v>1521</v>
      </c>
      <c r="J242" s="32" t="s">
        <v>30</v>
      </c>
      <c r="K242" s="32" t="s">
        <v>6</v>
      </c>
      <c r="L242" s="31">
        <v>94596</v>
      </c>
      <c r="M242" s="31">
        <v>37.907869499999997</v>
      </c>
      <c r="N242" s="31">
        <v>-122.0617262</v>
      </c>
      <c r="O242" s="30" t="s">
        <v>786</v>
      </c>
      <c r="P242" s="31" t="s">
        <v>1414</v>
      </c>
      <c r="Q242" s="19" t="s">
        <v>853</v>
      </c>
      <c r="R242" s="30" t="s">
        <v>881</v>
      </c>
      <c r="S242" s="30" t="s">
        <v>87</v>
      </c>
      <c r="T242" s="30" t="s">
        <v>882</v>
      </c>
      <c r="U242" s="19" t="s">
        <v>790</v>
      </c>
      <c r="V242" s="30" t="s">
        <v>1522</v>
      </c>
      <c r="W242" s="33">
        <v>1</v>
      </c>
      <c r="X242" s="31">
        <v>2015</v>
      </c>
      <c r="Y242" s="31">
        <v>2019</v>
      </c>
      <c r="Z242" s="34">
        <v>43630</v>
      </c>
      <c r="AA242" s="31">
        <v>2019</v>
      </c>
      <c r="AB242" s="34">
        <v>43647</v>
      </c>
      <c r="AC242" s="30" t="s">
        <v>783</v>
      </c>
      <c r="AD242" s="30" t="s">
        <v>796</v>
      </c>
      <c r="AE242" s="35">
        <v>0</v>
      </c>
      <c r="AF242" s="30">
        <v>4</v>
      </c>
      <c r="AG242" s="30">
        <v>1</v>
      </c>
      <c r="AH242" s="30"/>
      <c r="AI242" s="30"/>
      <c r="AJ242" s="30"/>
      <c r="AK242" s="30"/>
      <c r="AL242" s="46" t="s">
        <v>1519</v>
      </c>
      <c r="AM242" s="31">
        <v>0</v>
      </c>
      <c r="AN242" s="31" t="s">
        <v>1406</v>
      </c>
      <c r="AO242" s="19" t="s">
        <v>1569</v>
      </c>
      <c r="AP242" s="31">
        <v>35642</v>
      </c>
      <c r="AQ242" s="26">
        <f>IFERROR(PropInfo[[#This Row],[Yardi]]*1,PropInfo[[#This Row],[Yardi]])</f>
        <v>470</v>
      </c>
    </row>
    <row r="243" spans="1:43" x14ac:dyDescent="0.2">
      <c r="A243" s="43" t="s">
        <v>340</v>
      </c>
      <c r="B243" s="19" t="s">
        <v>1043</v>
      </c>
      <c r="C243" s="37">
        <v>235</v>
      </c>
      <c r="D243" s="37">
        <v>215510</v>
      </c>
      <c r="E243" s="19" t="s" vm="138">
        <v>813</v>
      </c>
      <c r="F243" s="19" t="s">
        <v>1409</v>
      </c>
      <c r="G243" s="19" t="s">
        <v>781</v>
      </c>
      <c r="H243" s="19" t="s">
        <v>1043</v>
      </c>
      <c r="I243" s="19" t="s">
        <v>1044</v>
      </c>
      <c r="J243" s="19" t="s">
        <v>341</v>
      </c>
      <c r="K243" s="19" t="s">
        <v>6</v>
      </c>
      <c r="L243" s="19">
        <v>90631</v>
      </c>
      <c r="M243" s="19">
        <v>33.912112999999998</v>
      </c>
      <c r="N243" s="19">
        <v>-117.974548</v>
      </c>
      <c r="O243" s="19" t="s">
        <v>929</v>
      </c>
      <c r="P243" s="19" t="s">
        <v>1415</v>
      </c>
      <c r="Q243" s="19" t="s">
        <v>1017</v>
      </c>
      <c r="R243" s="19" t="s">
        <v>510</v>
      </c>
      <c r="S243" s="19" t="s">
        <v>1018</v>
      </c>
      <c r="T243" s="19" t="s">
        <v>1032</v>
      </c>
      <c r="U243" s="19" t="s">
        <v>779</v>
      </c>
      <c r="V243" s="19" t="s">
        <v>813</v>
      </c>
      <c r="W243" s="20">
        <v>0.501</v>
      </c>
      <c r="X243" s="39">
        <v>1999</v>
      </c>
      <c r="Y243" s="39">
        <v>1997</v>
      </c>
      <c r="Z243" s="25">
        <v>36438</v>
      </c>
      <c r="AA243" s="19">
        <v>2000</v>
      </c>
      <c r="AB243" s="25">
        <v>36494</v>
      </c>
      <c r="AC243" s="19" t="s">
        <v>783</v>
      </c>
      <c r="AD243" s="19" t="s">
        <v>784</v>
      </c>
      <c r="AE243" s="21">
        <v>0</v>
      </c>
      <c r="AF243" s="19">
        <v>2</v>
      </c>
      <c r="AG243" s="19">
        <v>15</v>
      </c>
      <c r="AH243" s="19" t="s">
        <v>785</v>
      </c>
      <c r="AI243" s="19"/>
      <c r="AJ243" s="19"/>
      <c r="AK243" s="19"/>
      <c r="AL243" s="43" t="s">
        <v>340</v>
      </c>
      <c r="AM243" s="19">
        <v>0</v>
      </c>
      <c r="AN243" s="19" t="s">
        <v>1406</v>
      </c>
      <c r="AO243" s="19" t="s">
        <v>1359</v>
      </c>
      <c r="AP243" s="19">
        <v>3680</v>
      </c>
      <c r="AQ243" s="26">
        <f>IFERROR(PropInfo[[#This Row],[Yardi]]*1,PropInfo[[#This Row],[Yardi]])</f>
        <v>473</v>
      </c>
    </row>
    <row r="244" spans="1:43" hidden="1" x14ac:dyDescent="0.2">
      <c r="A244" s="43" t="s">
        <v>1185</v>
      </c>
      <c r="B244" s="19" t="s">
        <v>1186</v>
      </c>
      <c r="C244" s="37">
        <v>5</v>
      </c>
      <c r="D244" s="37">
        <v>8571</v>
      </c>
      <c r="E244" s="19" t="s">
        <v>762</v>
      </c>
      <c r="F244" s="19" t="s">
        <v>1409</v>
      </c>
      <c r="G244" s="19" t="s">
        <v>835</v>
      </c>
      <c r="H244" s="19" t="s">
        <v>471</v>
      </c>
      <c r="I244" s="19" t="s">
        <v>472</v>
      </c>
      <c r="J244" s="19" t="s">
        <v>160</v>
      </c>
      <c r="K244" s="19" t="s">
        <v>6</v>
      </c>
      <c r="L244" s="19">
        <v>92832</v>
      </c>
      <c r="M244" s="19">
        <v>33.870466999999998</v>
      </c>
      <c r="N244" s="19">
        <v>-117.920457</v>
      </c>
      <c r="O244" s="19" t="s">
        <v>929</v>
      </c>
      <c r="P244" s="19" t="s">
        <v>1415</v>
      </c>
      <c r="Q244" s="19" t="s">
        <v>1017</v>
      </c>
      <c r="R244" s="19" t="s">
        <v>510</v>
      </c>
      <c r="S244" s="19" t="s">
        <v>1018</v>
      </c>
      <c r="T244" s="19" t="s">
        <v>160</v>
      </c>
      <c r="U244" s="19" t="s">
        <v>820</v>
      </c>
      <c r="V244" s="19" t="s">
        <v>782</v>
      </c>
      <c r="W244" s="20">
        <v>1</v>
      </c>
      <c r="X244" s="39">
        <v>2004</v>
      </c>
      <c r="Y244" s="39">
        <v>2014</v>
      </c>
      <c r="Z244" s="25">
        <v>41730</v>
      </c>
      <c r="AA244" s="19">
        <v>2005</v>
      </c>
      <c r="AB244" s="25">
        <v>38200</v>
      </c>
      <c r="AC244" s="19" t="s">
        <v>804</v>
      </c>
      <c r="AD244" s="19" t="s">
        <v>800</v>
      </c>
      <c r="AE244" s="21">
        <v>0</v>
      </c>
      <c r="AF244" s="19">
        <v>5</v>
      </c>
      <c r="AG244" s="19">
        <v>1</v>
      </c>
      <c r="AH244" s="19" t="s">
        <v>792</v>
      </c>
      <c r="AI244" s="19"/>
      <c r="AJ244" s="19"/>
      <c r="AK244" s="19"/>
      <c r="AL244" s="43" t="e">
        <v>#N/A</v>
      </c>
      <c r="AM244" s="19" t="e">
        <v>#N/A</v>
      </c>
      <c r="AN244" s="19" t="e">
        <v>#N/A</v>
      </c>
      <c r="AO244" s="19" t="s">
        <v>1565</v>
      </c>
      <c r="AP244" s="19">
        <v>0</v>
      </c>
      <c r="AQ244" s="26" t="str">
        <f>IFERROR(PropInfo[[#This Row],[Yardi]]*1,PropInfo[[#This Row],[Yardi]])</f>
        <v>lax2199</v>
      </c>
    </row>
    <row r="245" spans="1:43" x14ac:dyDescent="0.2">
      <c r="A245" s="43" t="s">
        <v>391</v>
      </c>
      <c r="B245" s="19" t="s">
        <v>1008</v>
      </c>
      <c r="C245" s="37">
        <v>320</v>
      </c>
      <c r="D245" s="37">
        <v>264568</v>
      </c>
      <c r="E245" s="19" t="s" vm="156">
        <v>813</v>
      </c>
      <c r="F245" s="19" t="s">
        <v>1409</v>
      </c>
      <c r="G245" s="19" t="s">
        <v>781</v>
      </c>
      <c r="H245" s="19" t="s">
        <v>1008</v>
      </c>
      <c r="I245" s="19" t="s">
        <v>392</v>
      </c>
      <c r="J245" s="19" t="s">
        <v>331</v>
      </c>
      <c r="K245" s="19" t="s">
        <v>6</v>
      </c>
      <c r="L245" s="19">
        <v>93065</v>
      </c>
      <c r="M245" s="19">
        <v>34.279063999999998</v>
      </c>
      <c r="N245" s="19">
        <v>-118.76514400000001</v>
      </c>
      <c r="O245" s="19" t="s">
        <v>929</v>
      </c>
      <c r="P245" s="19" t="s">
        <v>1413</v>
      </c>
      <c r="Q245" s="19" t="s">
        <v>995</v>
      </c>
      <c r="R245" s="19" t="s">
        <v>375</v>
      </c>
      <c r="S245" s="19" t="s">
        <v>375</v>
      </c>
      <c r="T245" s="19" t="s">
        <v>1001</v>
      </c>
      <c r="U245" s="19" t="s">
        <v>790</v>
      </c>
      <c r="V245" s="19" t="s">
        <v>813</v>
      </c>
      <c r="W245" s="20">
        <v>0.501</v>
      </c>
      <c r="X245" s="39">
        <v>1986</v>
      </c>
      <c r="Y245" s="39">
        <v>1996</v>
      </c>
      <c r="Z245" s="25">
        <v>35376</v>
      </c>
      <c r="AA245" s="19">
        <v>1997</v>
      </c>
      <c r="AB245" s="25">
        <v>35430</v>
      </c>
      <c r="AC245" s="19" t="s">
        <v>783</v>
      </c>
      <c r="AD245" s="19" t="s">
        <v>784</v>
      </c>
      <c r="AE245" s="21">
        <v>0</v>
      </c>
      <c r="AF245" s="19">
        <v>2</v>
      </c>
      <c r="AG245" s="19">
        <v>29</v>
      </c>
      <c r="AH245" s="19" t="s">
        <v>785</v>
      </c>
      <c r="AI245" s="19"/>
      <c r="AJ245" s="19"/>
      <c r="AK245" s="19"/>
      <c r="AL245" s="43" t="s">
        <v>391</v>
      </c>
      <c r="AM245" s="19">
        <v>0</v>
      </c>
      <c r="AN245" s="19" t="s">
        <v>1406</v>
      </c>
      <c r="AO245" s="19" t="s">
        <v>1363</v>
      </c>
      <c r="AP245" s="19">
        <v>1168</v>
      </c>
      <c r="AQ245" s="26">
        <f>IFERROR(PropInfo[[#This Row],[Yardi]]*1,PropInfo[[#This Row],[Yardi]])</f>
        <v>474</v>
      </c>
    </row>
    <row r="246" spans="1:43" hidden="1" x14ac:dyDescent="0.2">
      <c r="A246" s="43" t="s">
        <v>1190</v>
      </c>
      <c r="B246" s="19" t="s">
        <v>1191</v>
      </c>
      <c r="C246" s="37">
        <v>9</v>
      </c>
      <c r="D246" s="37">
        <v>18200</v>
      </c>
      <c r="E246" s="19" t="s">
        <v>762</v>
      </c>
      <c r="F246" s="19" t="s">
        <v>1409</v>
      </c>
      <c r="G246" s="19" t="s">
        <v>835</v>
      </c>
      <c r="H246" s="19" t="s">
        <v>474</v>
      </c>
      <c r="I246" s="19" t="s">
        <v>1051</v>
      </c>
      <c r="J246" s="19" t="s">
        <v>121</v>
      </c>
      <c r="K246" s="19" t="s">
        <v>6</v>
      </c>
      <c r="L246" s="19">
        <v>92707</v>
      </c>
      <c r="M246" s="19">
        <v>33.701093999999998</v>
      </c>
      <c r="N246" s="19">
        <v>-117.86688599999999</v>
      </c>
      <c r="O246" s="19" t="s">
        <v>929</v>
      </c>
      <c r="P246" s="19" t="s">
        <v>1415</v>
      </c>
      <c r="Q246" s="19" t="s">
        <v>1017</v>
      </c>
      <c r="R246" s="19" t="s">
        <v>510</v>
      </c>
      <c r="S246" s="19" t="s">
        <v>1018</v>
      </c>
      <c r="T246" s="19" t="s">
        <v>121</v>
      </c>
      <c r="U246" s="19" t="s">
        <v>820</v>
      </c>
      <c r="V246" s="19" t="s">
        <v>782</v>
      </c>
      <c r="W246" s="20">
        <v>1</v>
      </c>
      <c r="X246" s="39">
        <v>2002</v>
      </c>
      <c r="Y246" s="39">
        <v>2014</v>
      </c>
      <c r="Z246" s="25">
        <v>41730</v>
      </c>
      <c r="AA246" s="19">
        <v>2005</v>
      </c>
      <c r="AB246" s="25">
        <v>38169</v>
      </c>
      <c r="AC246" s="19" t="s">
        <v>804</v>
      </c>
      <c r="AD246" s="19" t="s">
        <v>800</v>
      </c>
      <c r="AE246" s="21">
        <v>0</v>
      </c>
      <c r="AF246" s="19">
        <v>5</v>
      </c>
      <c r="AG246" s="19">
        <v>7</v>
      </c>
      <c r="AH246" s="19" t="s">
        <v>792</v>
      </c>
      <c r="AI246" s="19"/>
      <c r="AJ246" s="19"/>
      <c r="AK246" s="19"/>
      <c r="AL246" s="43" t="e">
        <v>#N/A</v>
      </c>
      <c r="AM246" s="19" t="e">
        <v>#N/A</v>
      </c>
      <c r="AN246" s="19" t="e">
        <v>#N/A</v>
      </c>
      <c r="AO246" s="19" t="s">
        <v>1565</v>
      </c>
      <c r="AP246" s="19">
        <v>0</v>
      </c>
      <c r="AQ246" s="26" t="str">
        <f>IFERROR(PropInfo[[#This Row],[Yardi]]*1,PropInfo[[#This Row],[Yardi]])</f>
        <v>lax2166</v>
      </c>
    </row>
    <row r="247" spans="1:43" x14ac:dyDescent="0.2">
      <c r="A247" s="43" t="s">
        <v>125</v>
      </c>
      <c r="B247" s="19" t="s">
        <v>1434</v>
      </c>
      <c r="C247" s="37">
        <v>184</v>
      </c>
      <c r="D247" s="37">
        <v>140600</v>
      </c>
      <c r="E247" s="19" t="s" vm="221">
        <v>813</v>
      </c>
      <c r="F247" s="19" t="s">
        <v>1409</v>
      </c>
      <c r="G247" s="19" t="s">
        <v>781</v>
      </c>
      <c r="H247" s="19" t="s">
        <v>1434</v>
      </c>
      <c r="I247" s="19" t="s">
        <v>126</v>
      </c>
      <c r="J247" s="19" t="s">
        <v>127</v>
      </c>
      <c r="K247" s="19" t="s">
        <v>6</v>
      </c>
      <c r="L247" s="19">
        <v>94560</v>
      </c>
      <c r="M247" s="19">
        <v>37.533672000000003</v>
      </c>
      <c r="N247" s="19">
        <v>-122.035065</v>
      </c>
      <c r="O247" s="19" t="s">
        <v>786</v>
      </c>
      <c r="P247" s="19" t="s">
        <v>1414</v>
      </c>
      <c r="Q247" s="19" t="s">
        <v>853</v>
      </c>
      <c r="R247" s="19" t="s">
        <v>854</v>
      </c>
      <c r="S247" s="19" t="s">
        <v>119</v>
      </c>
      <c r="T247" s="19" t="s">
        <v>119</v>
      </c>
      <c r="U247" s="19" t="s">
        <v>790</v>
      </c>
      <c r="V247" s="19" t="s">
        <v>813</v>
      </c>
      <c r="W247" s="20">
        <v>0.501</v>
      </c>
      <c r="X247" s="39">
        <v>1987</v>
      </c>
      <c r="Y247" s="39">
        <v>1987</v>
      </c>
      <c r="Z247" s="25">
        <v>31959</v>
      </c>
      <c r="AA247" s="19">
        <v>1988</v>
      </c>
      <c r="AB247" s="25">
        <v>32020</v>
      </c>
      <c r="AC247" s="19" t="s">
        <v>783</v>
      </c>
      <c r="AD247" s="19" t="s">
        <v>784</v>
      </c>
      <c r="AE247" s="21">
        <v>0</v>
      </c>
      <c r="AF247" s="19">
        <v>2</v>
      </c>
      <c r="AG247" s="19">
        <v>14</v>
      </c>
      <c r="AH247" s="19" t="s">
        <v>870</v>
      </c>
      <c r="AI247" s="19"/>
      <c r="AJ247" s="19"/>
      <c r="AK247" s="19"/>
      <c r="AL247" s="43" t="s">
        <v>125</v>
      </c>
      <c r="AM247" s="19">
        <v>0</v>
      </c>
      <c r="AN247" s="19" t="s">
        <v>1406</v>
      </c>
      <c r="AO247" s="19" t="s">
        <v>1569</v>
      </c>
      <c r="AP247" s="19">
        <v>1179</v>
      </c>
      <c r="AQ247" s="26">
        <f>IFERROR(PropInfo[[#This Row],[Yardi]]*1,PropInfo[[#This Row],[Yardi]])</f>
        <v>475</v>
      </c>
    </row>
    <row r="248" spans="1:43" x14ac:dyDescent="0.2">
      <c r="A248" s="43" t="s">
        <v>564</v>
      </c>
      <c r="B248" s="19" t="s">
        <v>812</v>
      </c>
      <c r="C248" s="37">
        <v>132</v>
      </c>
      <c r="D248" s="37">
        <v>130176</v>
      </c>
      <c r="E248" s="19" t="s" vm="96">
        <v>813</v>
      </c>
      <c r="F248" s="19" t="s">
        <v>1409</v>
      </c>
      <c r="G248" s="19" t="s">
        <v>781</v>
      </c>
      <c r="H248" s="19" t="s">
        <v>812</v>
      </c>
      <c r="I248" s="19" t="s">
        <v>814</v>
      </c>
      <c r="J248" s="19" t="s">
        <v>9</v>
      </c>
      <c r="K248" s="19" t="s">
        <v>6</v>
      </c>
      <c r="L248" s="19">
        <v>95148</v>
      </c>
      <c r="M248" s="19">
        <v>37.315005999999997</v>
      </c>
      <c r="N248" s="19">
        <v>-121.80714399999999</v>
      </c>
      <c r="O248" s="19" t="s">
        <v>786</v>
      </c>
      <c r="P248" s="19" t="s">
        <v>1414</v>
      </c>
      <c r="Q248" s="19" t="s">
        <v>787</v>
      </c>
      <c r="R248" s="19" t="s">
        <v>5</v>
      </c>
      <c r="S248" s="19" t="s">
        <v>797</v>
      </c>
      <c r="T248" s="19" t="s">
        <v>815</v>
      </c>
      <c r="U248" s="19" t="s">
        <v>790</v>
      </c>
      <c r="V248" s="19" t="s">
        <v>813</v>
      </c>
      <c r="W248" s="20">
        <v>0.501</v>
      </c>
      <c r="X248" s="39">
        <v>2000</v>
      </c>
      <c r="Y248" s="39">
        <v>2000</v>
      </c>
      <c r="Z248" s="25">
        <v>36630</v>
      </c>
      <c r="AA248" s="19">
        <v>2001</v>
      </c>
      <c r="AB248" s="25">
        <v>36677</v>
      </c>
      <c r="AC248" s="19" t="s">
        <v>783</v>
      </c>
      <c r="AD248" s="19" t="s">
        <v>784</v>
      </c>
      <c r="AE248" s="21">
        <v>0</v>
      </c>
      <c r="AF248" s="19">
        <v>3</v>
      </c>
      <c r="AG248" s="19">
        <v>8</v>
      </c>
      <c r="AH248" s="19" t="s">
        <v>785</v>
      </c>
      <c r="AI248" s="19"/>
      <c r="AJ248" s="19"/>
      <c r="AK248" s="19"/>
      <c r="AL248" s="43" t="s">
        <v>564</v>
      </c>
      <c r="AM248" s="19">
        <v>0</v>
      </c>
      <c r="AN248" s="19" t="s">
        <v>1406</v>
      </c>
      <c r="AO248" s="19" t="s">
        <v>1525</v>
      </c>
      <c r="AP248" s="19">
        <v>9860</v>
      </c>
      <c r="AQ248" s="26">
        <f>IFERROR(PropInfo[[#This Row],[Yardi]]*1,PropInfo[[#This Row],[Yardi]])</f>
        <v>476</v>
      </c>
    </row>
    <row r="249" spans="1:43" x14ac:dyDescent="0.2">
      <c r="A249" s="43" t="s">
        <v>627</v>
      </c>
      <c r="B249" s="19" t="s">
        <v>926</v>
      </c>
      <c r="C249" s="37">
        <v>145</v>
      </c>
      <c r="D249" s="37"/>
      <c r="E249" s="19" t="s" vm="139">
        <v>927</v>
      </c>
      <c r="F249" s="19" t="s">
        <v>1409</v>
      </c>
      <c r="G249" s="19" t="s">
        <v>781</v>
      </c>
      <c r="H249" s="19" t="s">
        <v>926</v>
      </c>
      <c r="I249" s="19" t="s">
        <v>928</v>
      </c>
      <c r="J249" s="19" t="s">
        <v>628</v>
      </c>
      <c r="K249" s="19" t="s">
        <v>6</v>
      </c>
      <c r="L249" s="19">
        <v>91505</v>
      </c>
      <c r="M249" s="19">
        <v>34.153336000000003</v>
      </c>
      <c r="N249" s="19">
        <v>-118.348263</v>
      </c>
      <c r="O249" s="19" t="s">
        <v>929</v>
      </c>
      <c r="P249" s="19" t="s">
        <v>1413</v>
      </c>
      <c r="Q249" s="19" t="s">
        <v>930</v>
      </c>
      <c r="R249" s="19" t="s">
        <v>21</v>
      </c>
      <c r="S249" s="19" t="s">
        <v>931</v>
      </c>
      <c r="T249" s="19" t="s">
        <v>932</v>
      </c>
      <c r="U249" s="19" t="s">
        <v>790</v>
      </c>
      <c r="V249" s="19" t="s">
        <v>927</v>
      </c>
      <c r="W249" s="20">
        <v>0.501</v>
      </c>
      <c r="X249" s="39">
        <v>1987</v>
      </c>
      <c r="Y249" s="39">
        <v>2017</v>
      </c>
      <c r="Z249" s="25">
        <v>43048</v>
      </c>
      <c r="AA249" s="19">
        <v>2019</v>
      </c>
      <c r="AB249" s="25">
        <v>43132</v>
      </c>
      <c r="AC249" s="19" t="s">
        <v>783</v>
      </c>
      <c r="AD249" s="19" t="s">
        <v>800</v>
      </c>
      <c r="AE249" s="21">
        <v>0</v>
      </c>
      <c r="AF249" s="19">
        <v>5</v>
      </c>
      <c r="AG249" s="19">
        <v>2</v>
      </c>
      <c r="AH249" s="19"/>
      <c r="AI249" s="19"/>
      <c r="AJ249" s="19"/>
      <c r="AK249" s="19"/>
      <c r="AL249" s="43" t="s">
        <v>627</v>
      </c>
      <c r="AM249" s="19">
        <v>0</v>
      </c>
      <c r="AN249" s="19" t="s">
        <v>1406</v>
      </c>
      <c r="AO249" s="19" t="s">
        <v>1589</v>
      </c>
      <c r="AP249" s="19">
        <v>0</v>
      </c>
      <c r="AQ249" s="26">
        <f>IFERROR(PropInfo[[#This Row],[Yardi]]*1,PropInfo[[#This Row],[Yardi]])</f>
        <v>479</v>
      </c>
    </row>
    <row r="250" spans="1:43" x14ac:dyDescent="0.2">
      <c r="A250" s="43" t="s">
        <v>548</v>
      </c>
      <c r="B250" s="19" t="s">
        <v>901</v>
      </c>
      <c r="C250" s="37">
        <v>492</v>
      </c>
      <c r="D250" s="37"/>
      <c r="E250" s="19" t="s" vm="223">
        <v>1369</v>
      </c>
      <c r="F250" s="19" t="s">
        <v>1410</v>
      </c>
      <c r="G250" s="19" t="s">
        <v>781</v>
      </c>
      <c r="H250" s="19" t="s">
        <v>901</v>
      </c>
      <c r="I250" s="19" t="s">
        <v>902</v>
      </c>
      <c r="J250" s="19" t="s">
        <v>345</v>
      </c>
      <c r="K250" s="19" t="s">
        <v>6</v>
      </c>
      <c r="L250" s="19">
        <v>94402</v>
      </c>
      <c r="M250" s="19">
        <v>37.554349999999999</v>
      </c>
      <c r="N250" s="19">
        <v>-122.30855099999999</v>
      </c>
      <c r="O250" s="19" t="s">
        <v>786</v>
      </c>
      <c r="P250" s="19" t="s">
        <v>1414</v>
      </c>
      <c r="Q250" s="19" t="s">
        <v>893</v>
      </c>
      <c r="R250" s="19" t="s">
        <v>345</v>
      </c>
      <c r="S250" s="19" t="s">
        <v>345</v>
      </c>
      <c r="T250" s="19" t="s">
        <v>895</v>
      </c>
      <c r="U250" s="19" t="s">
        <v>779</v>
      </c>
      <c r="V250" s="19" t="s">
        <v>782</v>
      </c>
      <c r="W250" s="20">
        <v>1</v>
      </c>
      <c r="X250" s="39">
        <v>2019</v>
      </c>
      <c r="Y250" s="39">
        <v>2015</v>
      </c>
      <c r="Z250" s="25">
        <v>42045</v>
      </c>
      <c r="AA250" s="19"/>
      <c r="AB250" s="25"/>
      <c r="AC250" s="19" t="s">
        <v>804</v>
      </c>
      <c r="AD250" s="19" t="s">
        <v>796</v>
      </c>
      <c r="AE250" s="21">
        <f>+PropInfo[[#This Row],[Units]]</f>
        <v>492</v>
      </c>
      <c r="AF250" s="19">
        <v>5</v>
      </c>
      <c r="AG250" s="19">
        <v>3</v>
      </c>
      <c r="AH250" s="19"/>
      <c r="AI250" s="19"/>
      <c r="AJ250" s="19"/>
      <c r="AK250" s="19"/>
      <c r="AL250" s="43" t="s">
        <v>548</v>
      </c>
      <c r="AM250" s="19" t="e">
        <v>#N/A</v>
      </c>
      <c r="AN250" s="19" t="e">
        <v>#N/A</v>
      </c>
      <c r="AO250" s="19" t="s">
        <v>1364</v>
      </c>
      <c r="AP250" s="19" t="e">
        <v>#N/A</v>
      </c>
      <c r="AQ250" s="26">
        <f>IFERROR(PropInfo[[#This Row],[Yardi]]*1,PropInfo[[#This Row],[Yardi]])</f>
        <v>482</v>
      </c>
    </row>
    <row r="251" spans="1:43" x14ac:dyDescent="0.2">
      <c r="A251" s="43" t="s">
        <v>387</v>
      </c>
      <c r="B251" s="19" t="s">
        <v>388</v>
      </c>
      <c r="C251" s="37">
        <v>166</v>
      </c>
      <c r="D251" s="37">
        <v>136540</v>
      </c>
      <c r="E251" s="19" t="s">
        <v>1368</v>
      </c>
      <c r="F251" s="19" t="s">
        <v>1409</v>
      </c>
      <c r="G251" s="19" t="s">
        <v>781</v>
      </c>
      <c r="H251" s="19" t="s">
        <v>388</v>
      </c>
      <c r="I251" s="19" t="s">
        <v>822</v>
      </c>
      <c r="J251" s="19" t="s">
        <v>9</v>
      </c>
      <c r="K251" s="19" t="s">
        <v>6</v>
      </c>
      <c r="L251" s="19">
        <v>95112</v>
      </c>
      <c r="M251" s="19">
        <v>37.356159499999997</v>
      </c>
      <c r="N251" s="19">
        <v>-121.89514079999999</v>
      </c>
      <c r="O251" s="19" t="s">
        <v>786</v>
      </c>
      <c r="P251" s="19" t="s">
        <v>1414</v>
      </c>
      <c r="Q251" s="19" t="s">
        <v>787</v>
      </c>
      <c r="R251" s="19" t="s">
        <v>5</v>
      </c>
      <c r="S251" s="19" t="s">
        <v>797</v>
      </c>
      <c r="T251" s="19" t="s">
        <v>805</v>
      </c>
      <c r="U251" s="19" t="s">
        <v>790</v>
      </c>
      <c r="V251" s="19" t="s">
        <v>817</v>
      </c>
      <c r="W251" s="20">
        <v>1</v>
      </c>
      <c r="X251" s="39">
        <v>2015</v>
      </c>
      <c r="Y251" s="39">
        <v>2016</v>
      </c>
      <c r="Z251" s="25">
        <v>42689</v>
      </c>
      <c r="AA251" s="19">
        <v>2018</v>
      </c>
      <c r="AB251" s="25">
        <v>42917</v>
      </c>
      <c r="AC251" s="19" t="s">
        <v>783</v>
      </c>
      <c r="AD251" s="19" t="s">
        <v>800</v>
      </c>
      <c r="AE251" s="21">
        <v>0</v>
      </c>
      <c r="AF251" s="19">
        <v>3</v>
      </c>
      <c r="AG251" s="19">
        <v>1</v>
      </c>
      <c r="AH251" s="19"/>
      <c r="AI251" s="19"/>
      <c r="AJ251" s="19"/>
      <c r="AK251" s="19"/>
      <c r="AL251" s="43" t="s">
        <v>387</v>
      </c>
      <c r="AM251" s="19">
        <v>0</v>
      </c>
      <c r="AN251" s="19" t="s">
        <v>1406</v>
      </c>
      <c r="AO251" s="19" t="s">
        <v>1352</v>
      </c>
      <c r="AP251" s="19">
        <v>46621</v>
      </c>
      <c r="AQ251" s="26">
        <f>IFERROR(PropInfo[[#This Row],[Yardi]]*1,PropInfo[[#This Row],[Yardi]])</f>
        <v>490</v>
      </c>
    </row>
    <row r="252" spans="1:43" x14ac:dyDescent="0.2">
      <c r="A252" s="43" t="s">
        <v>758</v>
      </c>
      <c r="B252" s="19" t="s">
        <v>905</v>
      </c>
      <c r="C252" s="37">
        <v>537</v>
      </c>
      <c r="D252" s="37"/>
      <c r="E252" s="19" t="s">
        <v>1289</v>
      </c>
      <c r="F252" s="19" t="s">
        <v>1411</v>
      </c>
      <c r="G252" s="19" t="s">
        <v>781</v>
      </c>
      <c r="H252" s="19" t="s">
        <v>905</v>
      </c>
      <c r="I252" s="19" t="s">
        <v>907</v>
      </c>
      <c r="J252" s="19" t="s">
        <v>106</v>
      </c>
      <c r="K252" s="19" t="s">
        <v>6</v>
      </c>
      <c r="L252" s="19">
        <v>94105</v>
      </c>
      <c r="M252" s="19">
        <v>37.787331000000002</v>
      </c>
      <c r="N252" s="19">
        <v>-122.39452900000001</v>
      </c>
      <c r="O252" s="19" t="s">
        <v>786</v>
      </c>
      <c r="P252" s="19" t="s">
        <v>1414</v>
      </c>
      <c r="Q252" s="19" t="s">
        <v>893</v>
      </c>
      <c r="R252" s="19" t="s">
        <v>106</v>
      </c>
      <c r="S252" s="19" t="s">
        <v>106</v>
      </c>
      <c r="T252" s="19" t="s">
        <v>908</v>
      </c>
      <c r="U252" s="19" t="s">
        <v>779</v>
      </c>
      <c r="V252" s="19" t="s">
        <v>906</v>
      </c>
      <c r="W252" s="20">
        <v>0.5</v>
      </c>
      <c r="X252" s="39">
        <v>2019</v>
      </c>
      <c r="Y252" s="39">
        <v>2016</v>
      </c>
      <c r="Z252" s="25">
        <v>42066</v>
      </c>
      <c r="AA252" s="19"/>
      <c r="AB252" s="25"/>
      <c r="AC252" s="19" t="s">
        <v>804</v>
      </c>
      <c r="AD252" s="19" t="s">
        <v>808</v>
      </c>
      <c r="AE252" s="21">
        <v>0</v>
      </c>
      <c r="AF252" s="19">
        <v>42</v>
      </c>
      <c r="AG252" s="19">
        <v>1</v>
      </c>
      <c r="AH252" s="19"/>
      <c r="AI252" s="19"/>
      <c r="AJ252" s="19"/>
      <c r="AK252" s="19"/>
      <c r="AL252" s="43" t="s">
        <v>758</v>
      </c>
      <c r="AM252" s="19" t="e">
        <v>#N/A</v>
      </c>
      <c r="AN252" s="19" t="e">
        <v>#N/A</v>
      </c>
      <c r="AO252" s="19" t="s">
        <v>1366</v>
      </c>
      <c r="AP252" s="19" t="e">
        <v>#N/A</v>
      </c>
      <c r="AQ252" s="26">
        <f>IFERROR(PropInfo[[#This Row],[Yardi]]*1,PropInfo[[#This Row],[Yardi]])</f>
        <v>495</v>
      </c>
    </row>
    <row r="253" spans="1:43" hidden="1" x14ac:dyDescent="0.2">
      <c r="A253" s="43" t="s">
        <v>382</v>
      </c>
      <c r="B253" s="19" t="s">
        <v>1184</v>
      </c>
      <c r="C253" s="37">
        <v>17</v>
      </c>
      <c r="D253" s="37">
        <v>29766</v>
      </c>
      <c r="E253" s="19" t="s">
        <v>762</v>
      </c>
      <c r="F253" s="19" t="s">
        <v>1409</v>
      </c>
      <c r="G253" s="19" t="s">
        <v>835</v>
      </c>
      <c r="H253" s="19" t="s">
        <v>977</v>
      </c>
      <c r="I253" s="19" t="s">
        <v>978</v>
      </c>
      <c r="J253" s="19" t="s">
        <v>55</v>
      </c>
      <c r="K253" s="19" t="s">
        <v>6</v>
      </c>
      <c r="L253" s="19">
        <v>90292</v>
      </c>
      <c r="M253" s="19">
        <v>33.983967</v>
      </c>
      <c r="N253" s="19">
        <v>-118.452744</v>
      </c>
      <c r="O253" s="19" t="s">
        <v>929</v>
      </c>
      <c r="P253" s="19" t="s">
        <v>1413</v>
      </c>
      <c r="Q253" s="19" t="s">
        <v>930</v>
      </c>
      <c r="R253" s="19" t="s">
        <v>21</v>
      </c>
      <c r="S253" s="19" t="s">
        <v>956</v>
      </c>
      <c r="T253" s="19" t="s">
        <v>976</v>
      </c>
      <c r="U253" s="19" t="s">
        <v>790</v>
      </c>
      <c r="V253" s="19" t="s">
        <v>782</v>
      </c>
      <c r="W253" s="20">
        <v>1</v>
      </c>
      <c r="X253" s="39">
        <v>1971</v>
      </c>
      <c r="Y253" s="39">
        <v>2004</v>
      </c>
      <c r="Z253" s="25">
        <v>38008</v>
      </c>
      <c r="AA253" s="19">
        <v>2005</v>
      </c>
      <c r="AB253" s="25">
        <v>38046</v>
      </c>
      <c r="AC253" s="19" t="s">
        <v>804</v>
      </c>
      <c r="AD253" s="19" t="s">
        <v>784</v>
      </c>
      <c r="AE253" s="21">
        <v>0</v>
      </c>
      <c r="AF253" s="19">
        <v>3</v>
      </c>
      <c r="AG253" s="19">
        <v>1</v>
      </c>
      <c r="AH253" s="19" t="s">
        <v>792</v>
      </c>
      <c r="AI253" s="19"/>
      <c r="AJ253" s="19"/>
      <c r="AK253" s="19"/>
      <c r="AL253" s="43" t="e">
        <v>#N/A</v>
      </c>
      <c r="AM253" s="19" t="e">
        <v>#N/A</v>
      </c>
      <c r="AN253" s="19" t="e">
        <v>#N/A</v>
      </c>
      <c r="AO253" s="19" t="s">
        <v>1565</v>
      </c>
      <c r="AP253" s="19">
        <v>0</v>
      </c>
      <c r="AQ253" s="26">
        <f>IFERROR(PropInfo[[#This Row],[Yardi]]*1,PropInfo[[#This Row],[Yardi]])</f>
        <v>98</v>
      </c>
    </row>
    <row r="254" spans="1:43" hidden="1" x14ac:dyDescent="0.2">
      <c r="A254" s="46" t="s">
        <v>1588</v>
      </c>
      <c r="B254" s="30" t="s">
        <v>1580</v>
      </c>
      <c r="C254" s="30">
        <v>105</v>
      </c>
      <c r="D254" s="38"/>
      <c r="E254" s="31" t="s">
        <v>1369</v>
      </c>
      <c r="F254" s="31"/>
      <c r="G254" s="30"/>
      <c r="H254" s="19"/>
      <c r="I254" s="32"/>
      <c r="J254" s="32"/>
      <c r="K254" s="32" t="s">
        <v>27</v>
      </c>
      <c r="L254" s="32"/>
      <c r="M254" s="32"/>
      <c r="N254" s="32"/>
      <c r="O254" s="19" t="s">
        <v>1090</v>
      </c>
      <c r="P254" s="31" t="s">
        <v>1412</v>
      </c>
      <c r="Q254" s="19" t="s">
        <v>1091</v>
      </c>
      <c r="R254" s="30" t="s">
        <v>1092</v>
      </c>
      <c r="S254" s="30" t="s">
        <v>1093</v>
      </c>
      <c r="T254" s="30"/>
      <c r="U254" s="19" t="s">
        <v>790</v>
      </c>
      <c r="V254" s="30"/>
      <c r="W254" s="33"/>
      <c r="X254" s="31">
        <v>2016</v>
      </c>
      <c r="Y254" s="31">
        <v>2019</v>
      </c>
      <c r="Z254" s="34"/>
      <c r="AA254" s="31"/>
      <c r="AB254" s="34"/>
      <c r="AC254" s="30"/>
      <c r="AD254" s="30" t="s">
        <v>800</v>
      </c>
      <c r="AE254" s="35"/>
      <c r="AF254" s="30"/>
      <c r="AG254" s="30"/>
      <c r="AH254" s="30"/>
      <c r="AI254" s="30"/>
      <c r="AJ254" s="30"/>
      <c r="AK254" s="30"/>
      <c r="AL254" s="44"/>
      <c r="AM254" s="31"/>
      <c r="AN254" s="31"/>
      <c r="AO254" s="31" t="s">
        <v>1348</v>
      </c>
      <c r="AP254" s="31"/>
      <c r="AQ254" s="26">
        <f>IFERROR(PropInfo[[#This Row],[Yardi]]*1,PropInfo[[#This Row],[Yardi]])</f>
        <v>477</v>
      </c>
    </row>
    <row r="255" spans="1:43" hidden="1" x14ac:dyDescent="0.2">
      <c r="A255" s="44" t="s">
        <v>1582</v>
      </c>
      <c r="B255" s="30" t="s">
        <v>1583</v>
      </c>
      <c r="C255" s="30">
        <v>1</v>
      </c>
      <c r="D255" s="38"/>
      <c r="E255" s="31" t="s">
        <v>762</v>
      </c>
      <c r="F255" s="31"/>
      <c r="G255" s="30"/>
      <c r="H255" s="19"/>
      <c r="I255" s="32"/>
      <c r="J255" s="32"/>
      <c r="K255" s="32" t="s">
        <v>27</v>
      </c>
      <c r="L255" s="32"/>
      <c r="M255" s="32"/>
      <c r="N255" s="32"/>
      <c r="O255" s="19" t="s">
        <v>1090</v>
      </c>
      <c r="P255" s="31" t="s">
        <v>1412</v>
      </c>
      <c r="Q255" s="19" t="s">
        <v>1091</v>
      </c>
      <c r="R255" s="30" t="s">
        <v>1092</v>
      </c>
      <c r="S255" s="30" t="s">
        <v>1093</v>
      </c>
      <c r="T255" s="30"/>
      <c r="U255" s="19"/>
      <c r="V255" s="30"/>
      <c r="W255" s="33"/>
      <c r="X255" s="31"/>
      <c r="Y255" s="31"/>
      <c r="Z255" s="34"/>
      <c r="AA255" s="31"/>
      <c r="AB255" s="34"/>
      <c r="AC255" s="30"/>
      <c r="AD255" s="30"/>
      <c r="AE255" s="35"/>
      <c r="AF255" s="30"/>
      <c r="AG255" s="30"/>
      <c r="AH255" s="30"/>
      <c r="AI255" s="30"/>
      <c r="AJ255" s="30"/>
      <c r="AK255" s="30"/>
      <c r="AL255" s="44"/>
      <c r="AM255" s="31"/>
      <c r="AN255" s="31"/>
      <c r="AO255" s="31"/>
      <c r="AP255" s="31"/>
      <c r="AQ255" s="26">
        <f>IFERROR(PropInfo[[#This Row],[Yardi]]*1,PropInfo[[#This Row],[Yardi]])</f>
        <v>478</v>
      </c>
    </row>
    <row r="256" spans="1:43" x14ac:dyDescent="0.2">
      <c r="A256" s="44" t="s">
        <v>1587</v>
      </c>
      <c r="B256" s="30" t="s">
        <v>905</v>
      </c>
      <c r="C256" s="38">
        <v>537</v>
      </c>
      <c r="D256" s="38"/>
      <c r="E256" s="31" t="s">
        <v>1289</v>
      </c>
      <c r="F256" s="31" t="s">
        <v>1411</v>
      </c>
      <c r="G256" s="30" t="s">
        <v>781</v>
      </c>
      <c r="H256" s="19" t="s">
        <v>905</v>
      </c>
      <c r="I256" s="32" t="s">
        <v>907</v>
      </c>
      <c r="J256" s="32" t="s">
        <v>106</v>
      </c>
      <c r="K256" s="32" t="s">
        <v>6</v>
      </c>
      <c r="L256" s="32">
        <v>94105</v>
      </c>
      <c r="M256" s="32">
        <v>37.787331000000002</v>
      </c>
      <c r="N256" s="32">
        <v>-122.39452900000001</v>
      </c>
      <c r="O256" s="30" t="s">
        <v>786</v>
      </c>
      <c r="P256" s="31" t="s">
        <v>1414</v>
      </c>
      <c r="Q256" s="30" t="s">
        <v>893</v>
      </c>
      <c r="R256" s="30" t="s">
        <v>106</v>
      </c>
      <c r="S256" s="30" t="s">
        <v>106</v>
      </c>
      <c r="T256" s="30" t="s">
        <v>908</v>
      </c>
      <c r="U256" s="30" t="s">
        <v>779</v>
      </c>
      <c r="V256" s="30" t="s">
        <v>906</v>
      </c>
      <c r="W256" s="33">
        <v>0.5</v>
      </c>
      <c r="X256" s="31">
        <v>2019</v>
      </c>
      <c r="Y256" s="31">
        <v>2016</v>
      </c>
      <c r="Z256" s="34">
        <v>42066</v>
      </c>
      <c r="AA256" s="31"/>
      <c r="AB256" s="34"/>
      <c r="AC256" s="30" t="s">
        <v>804</v>
      </c>
      <c r="AD256" s="30" t="s">
        <v>808</v>
      </c>
      <c r="AE256" s="35">
        <v>0</v>
      </c>
      <c r="AF256" s="30">
        <v>42</v>
      </c>
      <c r="AG256" s="30">
        <v>1</v>
      </c>
      <c r="AH256" s="30"/>
      <c r="AI256" s="30"/>
      <c r="AJ256" s="30"/>
      <c r="AK256" s="30"/>
      <c r="AL256" s="44" t="s">
        <v>758</v>
      </c>
      <c r="AM256" s="31" t="e">
        <v>#N/A</v>
      </c>
      <c r="AN256" s="31" t="e">
        <v>#N/A</v>
      </c>
      <c r="AO256" s="31" t="s">
        <v>1366</v>
      </c>
      <c r="AP256" s="31" t="e">
        <v>#N/A</v>
      </c>
      <c r="AQ256" s="26" t="str">
        <f>IFERROR(PropInfo[[#This Row],[Yardi]]*1,PropInfo[[#This Row],[Yardi]])</f>
        <v>500 Folsom (493-497)</v>
      </c>
    </row>
    <row r="257" spans="1:43" x14ac:dyDescent="0.2">
      <c r="A257" s="43" t="s">
        <v>315</v>
      </c>
      <c r="B257" s="19" t="s">
        <v>878</v>
      </c>
      <c r="C257" s="37">
        <v>506</v>
      </c>
      <c r="D257" s="37"/>
      <c r="E257" s="19" t="s">
        <v>1369</v>
      </c>
      <c r="F257" s="19" t="s">
        <v>1409</v>
      </c>
      <c r="G257" s="19" t="s">
        <v>781</v>
      </c>
      <c r="H257" s="19" t="s">
        <v>878</v>
      </c>
      <c r="I257" s="19" t="s">
        <v>879</v>
      </c>
      <c r="J257" s="19" t="s">
        <v>317</v>
      </c>
      <c r="K257" s="19" t="s">
        <v>6</v>
      </c>
      <c r="L257" s="19">
        <v>94588</v>
      </c>
      <c r="M257" s="19">
        <v>37.697775999999998</v>
      </c>
      <c r="N257" s="19">
        <v>-121.89823199999999</v>
      </c>
      <c r="O257" s="19" t="s">
        <v>786</v>
      </c>
      <c r="P257" s="19" t="s">
        <v>1414</v>
      </c>
      <c r="Q257" s="19" t="s">
        <v>853</v>
      </c>
      <c r="R257" s="19" t="s">
        <v>854</v>
      </c>
      <c r="S257" s="19" t="s">
        <v>87</v>
      </c>
      <c r="T257" s="19" t="s">
        <v>880</v>
      </c>
      <c r="U257" s="19" t="s">
        <v>779</v>
      </c>
      <c r="V257" s="19" t="s">
        <v>817</v>
      </c>
      <c r="W257" s="20">
        <v>1</v>
      </c>
      <c r="X257" s="39">
        <v>2017</v>
      </c>
      <c r="Y257" s="39">
        <v>2014</v>
      </c>
      <c r="Z257" s="25">
        <v>41730</v>
      </c>
      <c r="AA257" s="19">
        <v>2018</v>
      </c>
      <c r="AB257" s="25">
        <v>42979</v>
      </c>
      <c r="AC257" s="19" t="s">
        <v>804</v>
      </c>
      <c r="AD257" s="19" t="s">
        <v>800</v>
      </c>
      <c r="AE257" s="21">
        <v>0</v>
      </c>
      <c r="AF257" s="19">
        <v>5</v>
      </c>
      <c r="AG257" s="19">
        <v>16</v>
      </c>
      <c r="AH257" s="19"/>
      <c r="AI257" s="19"/>
      <c r="AJ257" s="19"/>
      <c r="AK257" s="19"/>
      <c r="AL257" s="43" t="s">
        <v>315</v>
      </c>
      <c r="AM257" s="19">
        <v>0</v>
      </c>
      <c r="AN257" s="19" t="s">
        <v>1406</v>
      </c>
      <c r="AO257" s="19" t="s">
        <v>1362</v>
      </c>
      <c r="AP257" s="19" t="e">
        <v>#N/A</v>
      </c>
      <c r="AQ257" s="26">
        <f>IFERROR(PropInfo[[#This Row],[Yardi]]*1,PropInfo[[#This Row],[Yardi]])</f>
        <v>498</v>
      </c>
    </row>
    <row r="258" spans="1:43" x14ac:dyDescent="0.2">
      <c r="A258" s="43" t="s">
        <v>578</v>
      </c>
      <c r="B258" s="19" t="s">
        <v>1027</v>
      </c>
      <c r="C258" s="37">
        <v>440</v>
      </c>
      <c r="D258" s="37">
        <v>413924</v>
      </c>
      <c r="E258" s="19" t="s" vm="225">
        <v>906</v>
      </c>
      <c r="F258" s="19" t="s">
        <v>1409</v>
      </c>
      <c r="G258" s="19" t="s">
        <v>781</v>
      </c>
      <c r="H258" s="19" t="s">
        <v>1027</v>
      </c>
      <c r="I258" s="19" t="s">
        <v>579</v>
      </c>
      <c r="J258" s="19" t="s">
        <v>580</v>
      </c>
      <c r="K258" s="19" t="s">
        <v>6</v>
      </c>
      <c r="L258" s="19">
        <v>92708</v>
      </c>
      <c r="M258" s="19">
        <v>33.709103499999998</v>
      </c>
      <c r="N258" s="19">
        <v>-117.9494485</v>
      </c>
      <c r="O258" s="19" t="s">
        <v>929</v>
      </c>
      <c r="P258" s="19" t="s">
        <v>1415</v>
      </c>
      <c r="Q258" s="19" t="s">
        <v>1017</v>
      </c>
      <c r="R258" s="19" t="s">
        <v>510</v>
      </c>
      <c r="S258" s="19" t="s">
        <v>1018</v>
      </c>
      <c r="T258" s="19" t="s">
        <v>350</v>
      </c>
      <c r="U258" s="19" t="s">
        <v>820</v>
      </c>
      <c r="V258" s="19" t="s">
        <v>1028</v>
      </c>
      <c r="W258" s="20">
        <v>0.500000004</v>
      </c>
      <c r="X258" s="39">
        <v>1969</v>
      </c>
      <c r="Y258" s="39">
        <v>2014</v>
      </c>
      <c r="Z258" s="25">
        <v>41730</v>
      </c>
      <c r="AA258" s="19">
        <v>2005</v>
      </c>
      <c r="AB258" s="25">
        <v>38231</v>
      </c>
      <c r="AC258" s="19" t="s">
        <v>783</v>
      </c>
      <c r="AD258" s="19" t="s">
        <v>784</v>
      </c>
      <c r="AE258" s="21">
        <v>0</v>
      </c>
      <c r="AF258" s="19">
        <v>2</v>
      </c>
      <c r="AG258" s="19">
        <v>31</v>
      </c>
      <c r="AH258" s="19" t="s">
        <v>785</v>
      </c>
      <c r="AI258" s="19"/>
      <c r="AJ258" s="19"/>
      <c r="AK258" s="19"/>
      <c r="AL258" s="43" t="s">
        <v>685</v>
      </c>
      <c r="AM258" s="19">
        <v>15</v>
      </c>
      <c r="AN258" s="19" t="s">
        <v>1403</v>
      </c>
      <c r="AO258" s="19" t="s">
        <v>1584</v>
      </c>
      <c r="AP258" s="19">
        <v>454</v>
      </c>
      <c r="AQ258" s="26" t="str">
        <f>IFERROR(PropInfo[[#This Row],[Yardi]]*1,PropInfo[[#This Row],[Yardi]])</f>
        <v>lax1129</v>
      </c>
    </row>
    <row r="259" spans="1:43" x14ac:dyDescent="0.2">
      <c r="A259" s="43" t="s">
        <v>457</v>
      </c>
      <c r="B259" s="19" t="s">
        <v>458</v>
      </c>
      <c r="C259" s="37">
        <v>210</v>
      </c>
      <c r="D259" s="37">
        <v>152400</v>
      </c>
      <c r="E259" s="19" t="s" vm="172">
        <v>906</v>
      </c>
      <c r="F259" s="19" t="s">
        <v>1409</v>
      </c>
      <c r="G259" s="19" t="s">
        <v>781</v>
      </c>
      <c r="H259" s="19" t="s">
        <v>458</v>
      </c>
      <c r="I259" s="19" t="s">
        <v>459</v>
      </c>
      <c r="J259" s="19" t="s">
        <v>121</v>
      </c>
      <c r="K259" s="19" t="s">
        <v>6</v>
      </c>
      <c r="L259" s="19">
        <v>92703</v>
      </c>
      <c r="M259" s="19">
        <v>33.745040699999997</v>
      </c>
      <c r="N259" s="19">
        <v>-117.9258179</v>
      </c>
      <c r="O259" s="19" t="s">
        <v>929</v>
      </c>
      <c r="P259" s="19" t="s">
        <v>1415</v>
      </c>
      <c r="Q259" s="19" t="s">
        <v>1017</v>
      </c>
      <c r="R259" s="19" t="s">
        <v>510</v>
      </c>
      <c r="S259" s="19" t="s">
        <v>1018</v>
      </c>
      <c r="T259" s="19" t="s">
        <v>121</v>
      </c>
      <c r="U259" s="19" t="s">
        <v>820</v>
      </c>
      <c r="V259" s="19" t="s">
        <v>1028</v>
      </c>
      <c r="W259" s="20">
        <v>0.500000004</v>
      </c>
      <c r="X259" s="39">
        <v>1986</v>
      </c>
      <c r="Y259" s="39">
        <v>2014</v>
      </c>
      <c r="Z259" s="25">
        <v>41730</v>
      </c>
      <c r="AA259" s="19">
        <v>2005</v>
      </c>
      <c r="AB259" s="25">
        <v>38108</v>
      </c>
      <c r="AC259" s="19" t="s">
        <v>783</v>
      </c>
      <c r="AD259" s="19" t="s">
        <v>784</v>
      </c>
      <c r="AE259" s="21">
        <v>0</v>
      </c>
      <c r="AF259" s="19">
        <v>3</v>
      </c>
      <c r="AG259" s="19">
        <v>6</v>
      </c>
      <c r="AH259" s="19" t="s">
        <v>870</v>
      </c>
      <c r="AI259" s="19"/>
      <c r="AJ259" s="19"/>
      <c r="AK259" s="19"/>
      <c r="AL259" s="43" t="s">
        <v>684</v>
      </c>
      <c r="AM259" s="19">
        <v>0</v>
      </c>
      <c r="AN259" s="19" t="s">
        <v>1406</v>
      </c>
      <c r="AO259" s="19" t="s">
        <v>1361</v>
      </c>
      <c r="AP259" s="19">
        <v>463</v>
      </c>
      <c r="AQ259" s="26" t="str">
        <f>IFERROR(PropInfo[[#This Row],[Yardi]]*1,PropInfo[[#This Row],[Yardi]])</f>
        <v>lax4004</v>
      </c>
    </row>
    <row r="260" spans="1:43" x14ac:dyDescent="0.2">
      <c r="A260" s="43" t="s">
        <v>265</v>
      </c>
      <c r="B260" s="19" t="s">
        <v>1567</v>
      </c>
      <c r="C260" s="37">
        <v>278</v>
      </c>
      <c r="D260" s="37">
        <v>278682</v>
      </c>
      <c r="E260" s="19" t="s" vm="207">
        <v>1368</v>
      </c>
      <c r="F260" s="19" t="s">
        <v>1409</v>
      </c>
      <c r="G260" s="19" t="s">
        <v>781</v>
      </c>
      <c r="H260" s="19" t="s">
        <v>264</v>
      </c>
      <c r="I260" s="19" t="s">
        <v>821</v>
      </c>
      <c r="J260" s="19" t="s">
        <v>9</v>
      </c>
      <c r="K260" s="19" t="s">
        <v>6</v>
      </c>
      <c r="L260" s="19">
        <v>95112</v>
      </c>
      <c r="M260" s="19">
        <v>37.351948</v>
      </c>
      <c r="N260" s="19">
        <v>-121.891632</v>
      </c>
      <c r="O260" s="19" t="s">
        <v>786</v>
      </c>
      <c r="P260" s="19" t="s">
        <v>1414</v>
      </c>
      <c r="Q260" s="19" t="s">
        <v>787</v>
      </c>
      <c r="R260" s="19" t="s">
        <v>5</v>
      </c>
      <c r="S260" s="19" t="s">
        <v>797</v>
      </c>
      <c r="T260" s="19" t="s">
        <v>805</v>
      </c>
      <c r="U260" s="19" t="s">
        <v>790</v>
      </c>
      <c r="V260" s="19" t="s">
        <v>782</v>
      </c>
      <c r="W260" s="20">
        <v>1</v>
      </c>
      <c r="X260" s="39">
        <v>2002</v>
      </c>
      <c r="Y260" s="39">
        <v>2004</v>
      </c>
      <c r="Z260" s="25">
        <v>38296</v>
      </c>
      <c r="AA260" s="19">
        <v>2005</v>
      </c>
      <c r="AB260" s="25">
        <v>38352</v>
      </c>
      <c r="AC260" s="19" t="s">
        <v>804</v>
      </c>
      <c r="AD260" s="19" t="s">
        <v>796</v>
      </c>
      <c r="AE260" s="21">
        <v>0</v>
      </c>
      <c r="AF260" s="19">
        <v>3</v>
      </c>
      <c r="AG260" s="19">
        <v>7</v>
      </c>
      <c r="AH260" s="19" t="s">
        <v>792</v>
      </c>
      <c r="AI260" s="19"/>
      <c r="AJ260" s="19"/>
      <c r="AK260" s="19"/>
      <c r="AL260" s="43" t="s">
        <v>683</v>
      </c>
      <c r="AM260" s="19">
        <v>26</v>
      </c>
      <c r="AN260" s="19" t="s">
        <v>1403</v>
      </c>
      <c r="AO260" s="19" t="s">
        <v>1527</v>
      </c>
      <c r="AP260" s="19">
        <v>16877</v>
      </c>
      <c r="AQ260" s="26">
        <f>IFERROR(PropInfo[[#This Row],[Yardi]]*1,PropInfo[[#This Row],[Yardi]])</f>
        <v>226</v>
      </c>
    </row>
    <row r="261" spans="1:43" x14ac:dyDescent="0.2">
      <c r="A261" s="43" t="s">
        <v>115</v>
      </c>
      <c r="B261" s="19" t="s">
        <v>116</v>
      </c>
      <c r="C261" s="37">
        <v>214</v>
      </c>
      <c r="D261" s="37">
        <v>167370</v>
      </c>
      <c r="E261" s="19" t="s" vm="157">
        <v>906</v>
      </c>
      <c r="F261" s="19" t="s">
        <v>1409</v>
      </c>
      <c r="G261" s="19" t="s">
        <v>781</v>
      </c>
      <c r="H261" s="19" t="s">
        <v>116</v>
      </c>
      <c r="I261" s="19" t="s">
        <v>1148</v>
      </c>
      <c r="J261" s="19" t="s">
        <v>117</v>
      </c>
      <c r="K261" s="19" t="s">
        <v>27</v>
      </c>
      <c r="L261" s="19">
        <v>98012</v>
      </c>
      <c r="M261" s="19">
        <v>47.816937000000003</v>
      </c>
      <c r="N261" s="19">
        <v>-122.207787</v>
      </c>
      <c r="O261" s="19" t="s">
        <v>1090</v>
      </c>
      <c r="P261" s="19" t="s">
        <v>1412</v>
      </c>
      <c r="Q261" s="19" t="s">
        <v>1091</v>
      </c>
      <c r="R261" s="19" t="s">
        <v>1147</v>
      </c>
      <c r="S261" s="19" t="s">
        <v>1107</v>
      </c>
      <c r="T261" s="19" t="s">
        <v>1108</v>
      </c>
      <c r="U261" s="19" t="s">
        <v>820</v>
      </c>
      <c r="V261" s="19" t="s">
        <v>1028</v>
      </c>
      <c r="W261" s="20">
        <v>0.501</v>
      </c>
      <c r="X261" s="39">
        <v>1988</v>
      </c>
      <c r="Y261" s="39">
        <v>2014</v>
      </c>
      <c r="Z261" s="25">
        <v>41730</v>
      </c>
      <c r="AA261" s="19">
        <v>2005</v>
      </c>
      <c r="AB261" s="25">
        <v>38108</v>
      </c>
      <c r="AC261" s="19" t="s">
        <v>783</v>
      </c>
      <c r="AD261" s="19" t="s">
        <v>784</v>
      </c>
      <c r="AE261" s="21" t="s">
        <v>1494</v>
      </c>
      <c r="AF261" s="19">
        <v>3</v>
      </c>
      <c r="AG261" s="19">
        <v>12</v>
      </c>
      <c r="AH261" s="19" t="s">
        <v>785</v>
      </c>
      <c r="AI261" s="19"/>
      <c r="AJ261" s="19"/>
      <c r="AK261" s="19"/>
      <c r="AL261" s="43" t="s">
        <v>682</v>
      </c>
      <c r="AM261" s="19">
        <v>0</v>
      </c>
      <c r="AN261" s="19" t="s">
        <v>1406</v>
      </c>
      <c r="AO261" s="19" t="s">
        <v>1534</v>
      </c>
      <c r="AP261" s="19">
        <v>461</v>
      </c>
      <c r="AQ261" s="26" t="str">
        <f>IFERROR(PropInfo[[#This Row],[Yardi]]*1,PropInfo[[#This Row],[Yardi]])</f>
        <v>pnw1126</v>
      </c>
    </row>
    <row r="262" spans="1:43" x14ac:dyDescent="0.2">
      <c r="A262" s="43" t="s">
        <v>245</v>
      </c>
      <c r="B262" s="19" t="s">
        <v>246</v>
      </c>
      <c r="C262" s="37">
        <v>160</v>
      </c>
      <c r="D262" s="37">
        <v>134816</v>
      </c>
      <c r="E262" s="19" t="s" vm="110">
        <v>1368</v>
      </c>
      <c r="F262" s="19" t="s">
        <v>1409</v>
      </c>
      <c r="G262" s="19" t="s">
        <v>781</v>
      </c>
      <c r="H262" s="19" t="s">
        <v>246</v>
      </c>
      <c r="I262" s="19" t="s">
        <v>933</v>
      </c>
      <c r="J262" s="19" t="s">
        <v>247</v>
      </c>
      <c r="K262" s="19" t="s">
        <v>6</v>
      </c>
      <c r="L262" s="19">
        <v>91765</v>
      </c>
      <c r="M262" s="19">
        <v>33.972957000000001</v>
      </c>
      <c r="N262" s="19">
        <v>-117.837519</v>
      </c>
      <c r="O262" s="19" t="s">
        <v>929</v>
      </c>
      <c r="P262" s="19" t="s">
        <v>1413</v>
      </c>
      <c r="Q262" s="19" t="s">
        <v>930</v>
      </c>
      <c r="R262" s="19" t="s">
        <v>21</v>
      </c>
      <c r="S262" s="19" t="s">
        <v>1233</v>
      </c>
      <c r="T262" s="19" t="s">
        <v>934</v>
      </c>
      <c r="U262" s="19" t="s">
        <v>820</v>
      </c>
      <c r="V262" s="19" t="s">
        <v>782</v>
      </c>
      <c r="W262" s="20">
        <v>1</v>
      </c>
      <c r="X262" s="39">
        <v>1989</v>
      </c>
      <c r="Y262" s="39">
        <v>2014</v>
      </c>
      <c r="Z262" s="25">
        <v>41730</v>
      </c>
      <c r="AA262" s="19">
        <v>2006</v>
      </c>
      <c r="AB262" s="25">
        <v>38384</v>
      </c>
      <c r="AC262" s="19" t="s">
        <v>783</v>
      </c>
      <c r="AD262" s="19" t="s">
        <v>784</v>
      </c>
      <c r="AE262" s="21">
        <v>0</v>
      </c>
      <c r="AF262" s="19">
        <v>2</v>
      </c>
      <c r="AG262" s="19">
        <v>12</v>
      </c>
      <c r="AH262" s="19" t="s">
        <v>785</v>
      </c>
      <c r="AI262" s="19"/>
      <c r="AJ262" s="19"/>
      <c r="AK262" s="19"/>
      <c r="AL262" s="43" t="s">
        <v>681</v>
      </c>
      <c r="AM262" s="19">
        <v>10</v>
      </c>
      <c r="AN262" s="19" t="s">
        <v>1403</v>
      </c>
      <c r="AO262" s="19" t="s">
        <v>1359</v>
      </c>
      <c r="AP262" s="19">
        <v>13502</v>
      </c>
      <c r="AQ262" s="26" t="str">
        <f>IFERROR(PropInfo[[#This Row],[Yardi]]*1,PropInfo[[#This Row],[Yardi]])</f>
        <v>lax1232</v>
      </c>
    </row>
    <row r="263" spans="1:43" x14ac:dyDescent="0.2">
      <c r="A263" s="43" t="s">
        <v>590</v>
      </c>
      <c r="B263" s="19" t="s">
        <v>984</v>
      </c>
      <c r="C263" s="37">
        <v>188</v>
      </c>
      <c r="D263" s="37">
        <v>168630</v>
      </c>
      <c r="E263" s="19" t="s" vm="227">
        <v>1368</v>
      </c>
      <c r="F263" s="19" t="s">
        <v>1409</v>
      </c>
      <c r="G263" s="19" t="s">
        <v>781</v>
      </c>
      <c r="H263" s="19" t="s">
        <v>984</v>
      </c>
      <c r="I263" s="19" t="s">
        <v>985</v>
      </c>
      <c r="J263" s="19" t="s">
        <v>321</v>
      </c>
      <c r="K263" s="19" t="s">
        <v>6</v>
      </c>
      <c r="L263" s="19">
        <v>91107</v>
      </c>
      <c r="M263" s="19">
        <v>34.150060000000003</v>
      </c>
      <c r="N263" s="19">
        <v>-118.0824654</v>
      </c>
      <c r="O263" s="19" t="s">
        <v>929</v>
      </c>
      <c r="P263" s="19" t="s">
        <v>1413</v>
      </c>
      <c r="Q263" s="19" t="s">
        <v>930</v>
      </c>
      <c r="R263" s="19" t="s">
        <v>21</v>
      </c>
      <c r="S263" s="19" t="s">
        <v>931</v>
      </c>
      <c r="T263" s="19" t="s">
        <v>932</v>
      </c>
      <c r="U263" s="19" t="s">
        <v>820</v>
      </c>
      <c r="V263" s="19" t="s">
        <v>782</v>
      </c>
      <c r="W263" s="20">
        <v>1</v>
      </c>
      <c r="X263" s="39">
        <v>2007</v>
      </c>
      <c r="Y263" s="39">
        <v>2014</v>
      </c>
      <c r="Z263" s="25">
        <v>41730</v>
      </c>
      <c r="AA263" s="19">
        <v>2012</v>
      </c>
      <c r="AB263" s="25">
        <v>40634</v>
      </c>
      <c r="AC263" s="19" t="s">
        <v>783</v>
      </c>
      <c r="AD263" s="19" t="s">
        <v>800</v>
      </c>
      <c r="AE263" s="21">
        <v>0</v>
      </c>
      <c r="AF263" s="19">
        <v>5</v>
      </c>
      <c r="AG263" s="19">
        <v>1</v>
      </c>
      <c r="AH263" s="19" t="s">
        <v>792</v>
      </c>
      <c r="AI263" s="19"/>
      <c r="AJ263" s="19"/>
      <c r="AK263" s="19"/>
      <c r="AL263" s="43" t="s">
        <v>680</v>
      </c>
      <c r="AM263" s="19">
        <v>0</v>
      </c>
      <c r="AN263" s="19" t="s">
        <v>1406</v>
      </c>
      <c r="AO263" s="19" t="s">
        <v>1589</v>
      </c>
      <c r="AP263" s="19">
        <v>20232</v>
      </c>
      <c r="AQ263" s="26" t="str">
        <f>IFERROR(PropInfo[[#This Row],[Yardi]]*1,PropInfo[[#This Row],[Yardi]])</f>
        <v>lax1228</v>
      </c>
    </row>
    <row r="264" spans="1:43" x14ac:dyDescent="0.2">
      <c r="A264" s="43" t="s">
        <v>600</v>
      </c>
      <c r="B264" s="19" t="s">
        <v>601</v>
      </c>
      <c r="C264" s="37">
        <v>101</v>
      </c>
      <c r="D264" s="37">
        <v>74473</v>
      </c>
      <c r="E264" s="19" t="s" vm="150">
        <v>1368</v>
      </c>
      <c r="F264" s="19" t="s">
        <v>1409</v>
      </c>
      <c r="G264" s="19" t="s">
        <v>781</v>
      </c>
      <c r="H264" s="19" t="s">
        <v>601</v>
      </c>
      <c r="I264" s="19" t="s">
        <v>602</v>
      </c>
      <c r="J264" s="19" t="s">
        <v>21</v>
      </c>
      <c r="K264" s="19" t="s">
        <v>6</v>
      </c>
      <c r="L264" s="19">
        <v>90036</v>
      </c>
      <c r="M264" s="19">
        <v>34.064307900000003</v>
      </c>
      <c r="N264" s="19">
        <v>-118.352187</v>
      </c>
      <c r="O264" s="19" t="s">
        <v>929</v>
      </c>
      <c r="P264" s="19" t="s">
        <v>1413</v>
      </c>
      <c r="Q264" s="19" t="s">
        <v>930</v>
      </c>
      <c r="R264" s="19" t="s">
        <v>21</v>
      </c>
      <c r="S264" s="19" t="s">
        <v>956</v>
      </c>
      <c r="T264" s="19" t="s">
        <v>960</v>
      </c>
      <c r="U264" s="19" t="s">
        <v>820</v>
      </c>
      <c r="V264" s="19" t="s">
        <v>782</v>
      </c>
      <c r="W264" s="20">
        <v>1</v>
      </c>
      <c r="X264" s="39">
        <v>1987</v>
      </c>
      <c r="Y264" s="39">
        <v>2014</v>
      </c>
      <c r="Z264" s="25">
        <v>41730</v>
      </c>
      <c r="AA264" s="19">
        <v>2005</v>
      </c>
      <c r="AB264" s="25">
        <v>38047</v>
      </c>
      <c r="AC264" s="19" t="s">
        <v>783</v>
      </c>
      <c r="AD264" s="19" t="s">
        <v>800</v>
      </c>
      <c r="AE264" s="21">
        <v>0</v>
      </c>
      <c r="AF264" s="19">
        <v>4</v>
      </c>
      <c r="AG264" s="19">
        <v>1</v>
      </c>
      <c r="AH264" s="19" t="s">
        <v>792</v>
      </c>
      <c r="AI264" s="19"/>
      <c r="AJ264" s="19"/>
      <c r="AK264" s="19"/>
      <c r="AL264" s="43" t="s">
        <v>679</v>
      </c>
      <c r="AM264" s="19">
        <v>8</v>
      </c>
      <c r="AN264" s="19" t="s">
        <v>1403</v>
      </c>
      <c r="AO264" s="19" t="s">
        <v>1360</v>
      </c>
      <c r="AP264" s="19">
        <v>13366</v>
      </c>
      <c r="AQ264" s="26" t="str">
        <f>IFERROR(PropInfo[[#This Row],[Yardi]]*1,PropInfo[[#This Row],[Yardi]])</f>
        <v>lax1241</v>
      </c>
    </row>
    <row r="265" spans="1:43" x14ac:dyDescent="0.2">
      <c r="A265" s="43" t="s">
        <v>31</v>
      </c>
      <c r="B265" s="19" t="s">
        <v>32</v>
      </c>
      <c r="C265" s="37">
        <v>624</v>
      </c>
      <c r="D265" s="37">
        <v>552946</v>
      </c>
      <c r="E265" s="19" t="s" vm="228">
        <v>1368</v>
      </c>
      <c r="F265" s="19" t="s">
        <v>1409</v>
      </c>
      <c r="G265" s="19" t="s">
        <v>781</v>
      </c>
      <c r="H265" s="19" t="s">
        <v>32</v>
      </c>
      <c r="I265" s="19" t="s">
        <v>955</v>
      </c>
      <c r="J265" s="19" t="s">
        <v>21</v>
      </c>
      <c r="K265" s="19" t="s">
        <v>6</v>
      </c>
      <c r="L265" s="19">
        <v>90045</v>
      </c>
      <c r="M265" s="19">
        <v>33.976277000000003</v>
      </c>
      <c r="N265" s="19">
        <v>-118.38166099999999</v>
      </c>
      <c r="O265" s="19" t="s">
        <v>929</v>
      </c>
      <c r="P265" s="19" t="s">
        <v>1413</v>
      </c>
      <c r="Q265" s="19" t="s">
        <v>930</v>
      </c>
      <c r="R265" s="19" t="s">
        <v>21</v>
      </c>
      <c r="S265" s="19" t="s">
        <v>956</v>
      </c>
      <c r="T265" s="19" t="s">
        <v>957</v>
      </c>
      <c r="U265" s="19" t="s">
        <v>820</v>
      </c>
      <c r="V265" s="19" t="s">
        <v>782</v>
      </c>
      <c r="W265" s="20">
        <v>1</v>
      </c>
      <c r="X265" s="39">
        <v>2001</v>
      </c>
      <c r="Y265" s="39">
        <v>2014</v>
      </c>
      <c r="Z265" s="25">
        <v>41730</v>
      </c>
      <c r="AA265" s="19">
        <v>2006</v>
      </c>
      <c r="AB265" s="25">
        <v>38353</v>
      </c>
      <c r="AC265" s="19" t="s">
        <v>783</v>
      </c>
      <c r="AD265" s="19" t="s">
        <v>800</v>
      </c>
      <c r="AE265" s="21">
        <v>0</v>
      </c>
      <c r="AF265" s="19">
        <v>4</v>
      </c>
      <c r="AG265" s="19">
        <v>7</v>
      </c>
      <c r="AH265" s="19" t="s">
        <v>785</v>
      </c>
      <c r="AI265" s="19" t="s">
        <v>1375</v>
      </c>
      <c r="AJ265" s="19">
        <v>63</v>
      </c>
      <c r="AK265" s="19">
        <v>2031</v>
      </c>
      <c r="AL265" s="43" t="s">
        <v>678</v>
      </c>
      <c r="AM265" s="19">
        <v>0</v>
      </c>
      <c r="AN265" s="19" t="s">
        <v>1406</v>
      </c>
      <c r="AO265" s="19" t="s">
        <v>1350</v>
      </c>
      <c r="AP265" s="19">
        <v>12576</v>
      </c>
      <c r="AQ265" s="26" t="str">
        <f>IFERROR(PropInfo[[#This Row],[Yardi]]*1,PropInfo[[#This Row],[Yardi]])</f>
        <v>lax1245</v>
      </c>
    </row>
    <row r="266" spans="1:43" x14ac:dyDescent="0.2">
      <c r="A266" s="43" t="s">
        <v>19</v>
      </c>
      <c r="B266" s="19" t="s">
        <v>20</v>
      </c>
      <c r="C266" s="37">
        <v>284</v>
      </c>
      <c r="D266" s="37">
        <v>243910</v>
      </c>
      <c r="E266" s="19" t="s" vm="113">
        <v>1368</v>
      </c>
      <c r="F266" s="19" t="s">
        <v>1409</v>
      </c>
      <c r="G266" s="19" t="s">
        <v>781</v>
      </c>
      <c r="H266" s="19" t="s">
        <v>20</v>
      </c>
      <c r="I266" s="19" t="s">
        <v>961</v>
      </c>
      <c r="J266" s="19" t="s">
        <v>21</v>
      </c>
      <c r="K266" s="19" t="s">
        <v>6</v>
      </c>
      <c r="L266" s="19">
        <v>90036</v>
      </c>
      <c r="M266" s="19">
        <v>34.062089999999998</v>
      </c>
      <c r="N266" s="19">
        <v>-118.343355</v>
      </c>
      <c r="O266" s="19" t="s">
        <v>929</v>
      </c>
      <c r="P266" s="19" t="s">
        <v>1413</v>
      </c>
      <c r="Q266" s="19" t="s">
        <v>930</v>
      </c>
      <c r="R266" s="19" t="s">
        <v>21</v>
      </c>
      <c r="S266" s="19" t="s">
        <v>956</v>
      </c>
      <c r="T266" s="19" t="s">
        <v>960</v>
      </c>
      <c r="U266" s="19" t="s">
        <v>820</v>
      </c>
      <c r="V266" s="19" t="s">
        <v>782</v>
      </c>
      <c r="W266" s="20">
        <v>1</v>
      </c>
      <c r="X266" s="39">
        <v>2008</v>
      </c>
      <c r="Y266" s="39">
        <v>2014</v>
      </c>
      <c r="Z266" s="25">
        <v>41730</v>
      </c>
      <c r="AA266" s="19">
        <v>2010</v>
      </c>
      <c r="AB266" s="25">
        <v>40087</v>
      </c>
      <c r="AC266" s="19" t="s">
        <v>783</v>
      </c>
      <c r="AD266" s="19" t="s">
        <v>800</v>
      </c>
      <c r="AE266" s="21">
        <v>0</v>
      </c>
      <c r="AF266" s="19">
        <v>6</v>
      </c>
      <c r="AG266" s="19">
        <v>1</v>
      </c>
      <c r="AH266" s="19" t="s">
        <v>792</v>
      </c>
      <c r="AI266" s="19"/>
      <c r="AJ266" s="19"/>
      <c r="AK266" s="19"/>
      <c r="AL266" s="43" t="s">
        <v>677</v>
      </c>
      <c r="AM266" s="19">
        <v>0</v>
      </c>
      <c r="AN266" s="19" t="s">
        <v>1406</v>
      </c>
      <c r="AO266" s="19" t="s">
        <v>1360</v>
      </c>
      <c r="AP266" s="19">
        <v>38535</v>
      </c>
      <c r="AQ266" s="26" t="str">
        <f>IFERROR(PropInfo[[#This Row],[Yardi]]*1,PropInfo[[#This Row],[Yardi]])</f>
        <v>lax1249</v>
      </c>
    </row>
    <row r="267" spans="1:43" x14ac:dyDescent="0.2">
      <c r="A267" s="43" t="s">
        <v>174</v>
      </c>
      <c r="B267" s="19" t="s">
        <v>175</v>
      </c>
      <c r="C267" s="37">
        <v>128</v>
      </c>
      <c r="D267" s="37">
        <v>117585</v>
      </c>
      <c r="E267" s="19" t="s" vm="171">
        <v>1368</v>
      </c>
      <c r="F267" s="19" t="s">
        <v>1409</v>
      </c>
      <c r="G267" s="19" t="s">
        <v>781</v>
      </c>
      <c r="H267" s="19" t="s">
        <v>175</v>
      </c>
      <c r="I267" s="19" t="s">
        <v>176</v>
      </c>
      <c r="J267" s="19" t="s">
        <v>21</v>
      </c>
      <c r="K267" s="19" t="s">
        <v>6</v>
      </c>
      <c r="L267" s="19">
        <v>90020</v>
      </c>
      <c r="M267" s="19">
        <v>34.068161000000003</v>
      </c>
      <c r="N267" s="19">
        <v>-118.29552099999999</v>
      </c>
      <c r="O267" s="19" t="s">
        <v>929</v>
      </c>
      <c r="P267" s="19" t="s">
        <v>1413</v>
      </c>
      <c r="Q267" s="19" t="s">
        <v>930</v>
      </c>
      <c r="R267" s="19" t="s">
        <v>21</v>
      </c>
      <c r="S267" s="19" t="s">
        <v>956</v>
      </c>
      <c r="T267" s="19" t="s">
        <v>960</v>
      </c>
      <c r="U267" s="19" t="s">
        <v>820</v>
      </c>
      <c r="V267" s="19" t="s">
        <v>782</v>
      </c>
      <c r="W267" s="20">
        <v>1</v>
      </c>
      <c r="X267" s="39">
        <v>1987</v>
      </c>
      <c r="Y267" s="39">
        <v>2014</v>
      </c>
      <c r="Z267" s="25">
        <v>41730</v>
      </c>
      <c r="AA267" s="19">
        <v>2006</v>
      </c>
      <c r="AB267" s="25">
        <v>38657</v>
      </c>
      <c r="AC267" s="19" t="s">
        <v>783</v>
      </c>
      <c r="AD267" s="19" t="s">
        <v>800</v>
      </c>
      <c r="AE267" s="21">
        <v>0</v>
      </c>
      <c r="AF267" s="19">
        <v>5</v>
      </c>
      <c r="AG267" s="19">
        <v>1</v>
      </c>
      <c r="AH267" s="19" t="s">
        <v>785</v>
      </c>
      <c r="AI267" s="19"/>
      <c r="AJ267" s="19"/>
      <c r="AK267" s="19"/>
      <c r="AL267" s="43" t="s">
        <v>676</v>
      </c>
      <c r="AM267" s="19">
        <v>0</v>
      </c>
      <c r="AN267" s="19" t="s">
        <v>1406</v>
      </c>
      <c r="AO267" s="19" t="s">
        <v>1528</v>
      </c>
      <c r="AP267" s="19">
        <v>16805</v>
      </c>
      <c r="AQ267" s="26" t="str">
        <f>IFERROR(PropInfo[[#This Row],[Yardi]]*1,PropInfo[[#This Row],[Yardi]])</f>
        <v>lax1255</v>
      </c>
    </row>
    <row r="268" spans="1:43" x14ac:dyDescent="0.2">
      <c r="A268" s="43" t="s">
        <v>655</v>
      </c>
      <c r="B268" s="19" t="s">
        <v>656</v>
      </c>
      <c r="C268" s="37">
        <v>478</v>
      </c>
      <c r="D268" s="37">
        <v>354808</v>
      </c>
      <c r="E268" s="19" t="s" vm="232">
        <v>1368</v>
      </c>
      <c r="F268" s="19" t="s">
        <v>1409</v>
      </c>
      <c r="G268" s="19" t="s">
        <v>781</v>
      </c>
      <c r="H268" s="19" t="s">
        <v>656</v>
      </c>
      <c r="I268" s="19" t="s">
        <v>963</v>
      </c>
      <c r="J268" s="19" t="s">
        <v>21</v>
      </c>
      <c r="K268" s="19" t="s">
        <v>6</v>
      </c>
      <c r="L268" s="19">
        <v>90036</v>
      </c>
      <c r="M268" s="19">
        <v>34.061897999999999</v>
      </c>
      <c r="N268" s="19">
        <v>-118.343351</v>
      </c>
      <c r="O268" s="19" t="s">
        <v>929</v>
      </c>
      <c r="P268" s="19" t="s">
        <v>1413</v>
      </c>
      <c r="Q268" s="19" t="s">
        <v>930</v>
      </c>
      <c r="R268" s="19" t="s">
        <v>21</v>
      </c>
      <c r="S268" s="19" t="s">
        <v>956</v>
      </c>
      <c r="T268" s="19" t="s">
        <v>960</v>
      </c>
      <c r="U268" s="19" t="s">
        <v>820</v>
      </c>
      <c r="V268" s="19" t="s">
        <v>782</v>
      </c>
      <c r="W268" s="20">
        <v>1</v>
      </c>
      <c r="X268" s="39">
        <v>2014</v>
      </c>
      <c r="Y268" s="39">
        <v>2014</v>
      </c>
      <c r="Z268" s="25">
        <v>41730</v>
      </c>
      <c r="AA268" s="19">
        <v>2015</v>
      </c>
      <c r="AB268" s="25">
        <v>42005</v>
      </c>
      <c r="AC268" s="19" t="s">
        <v>804</v>
      </c>
      <c r="AD268" s="19" t="s">
        <v>800</v>
      </c>
      <c r="AE268" s="27">
        <v>478</v>
      </c>
      <c r="AF268" s="19">
        <v>7</v>
      </c>
      <c r="AG268" s="19">
        <v>1</v>
      </c>
      <c r="AH268" s="19" t="s">
        <v>792</v>
      </c>
      <c r="AI268" s="19" t="s">
        <v>1392</v>
      </c>
      <c r="AJ268" s="19">
        <v>14</v>
      </c>
      <c r="AK268" s="19">
        <v>2045</v>
      </c>
      <c r="AL268" s="43" t="s">
        <v>675</v>
      </c>
      <c r="AM268" s="19">
        <v>8</v>
      </c>
      <c r="AN268" s="19" t="s">
        <v>1403</v>
      </c>
      <c r="AO268" s="19" t="s">
        <v>1360</v>
      </c>
      <c r="AP268" s="19">
        <v>36851</v>
      </c>
      <c r="AQ268" s="26" t="str">
        <f>IFERROR(PropInfo[[#This Row],[Yardi]]*1,PropInfo[[#This Row],[Yardi]])</f>
        <v>lax1259</v>
      </c>
    </row>
    <row r="269" spans="1:43" x14ac:dyDescent="0.2">
      <c r="A269" s="43" t="s">
        <v>53</v>
      </c>
      <c r="B269" s="19" t="s">
        <v>54</v>
      </c>
      <c r="C269" s="37">
        <v>500</v>
      </c>
      <c r="D269" s="37">
        <v>479281</v>
      </c>
      <c r="E269" s="19" t="s" vm="116">
        <v>1368</v>
      </c>
      <c r="F269" s="19" t="s">
        <v>1409</v>
      </c>
      <c r="G269" s="19" t="s">
        <v>781</v>
      </c>
      <c r="H269" s="19" t="s">
        <v>54</v>
      </c>
      <c r="I269" s="19" t="s">
        <v>975</v>
      </c>
      <c r="J269" s="19" t="s">
        <v>55</v>
      </c>
      <c r="K269" s="19" t="s">
        <v>6</v>
      </c>
      <c r="L269" s="19">
        <v>90292</v>
      </c>
      <c r="M269" s="19">
        <v>33.979502699999998</v>
      </c>
      <c r="N269" s="19">
        <v>-118.4376618</v>
      </c>
      <c r="O269" s="19" t="s">
        <v>929</v>
      </c>
      <c r="P269" s="19" t="s">
        <v>1413</v>
      </c>
      <c r="Q269" s="19" t="s">
        <v>930</v>
      </c>
      <c r="R269" s="19" t="s">
        <v>21</v>
      </c>
      <c r="S269" s="19" t="s">
        <v>956</v>
      </c>
      <c r="T269" s="19" t="s">
        <v>976</v>
      </c>
      <c r="U269" s="19" t="s">
        <v>820</v>
      </c>
      <c r="V269" s="19" t="s">
        <v>782</v>
      </c>
      <c r="W269" s="20">
        <v>1</v>
      </c>
      <c r="X269" s="39">
        <v>2001</v>
      </c>
      <c r="Y269" s="39">
        <v>2014</v>
      </c>
      <c r="Z269" s="25">
        <v>41730</v>
      </c>
      <c r="AA269" s="19">
        <v>2011</v>
      </c>
      <c r="AB269" s="25">
        <v>40422</v>
      </c>
      <c r="AC269" s="19" t="s">
        <v>783</v>
      </c>
      <c r="AD269" s="19" t="s">
        <v>800</v>
      </c>
      <c r="AE269" s="21">
        <v>0</v>
      </c>
      <c r="AF269" s="19">
        <v>5</v>
      </c>
      <c r="AG269" s="19">
        <v>2</v>
      </c>
      <c r="AH269" s="19" t="s">
        <v>792</v>
      </c>
      <c r="AI269" s="19"/>
      <c r="AJ269" s="19"/>
      <c r="AK269" s="19"/>
      <c r="AL269" s="43" t="s">
        <v>674</v>
      </c>
      <c r="AM269" s="19">
        <v>0</v>
      </c>
      <c r="AN269" s="19" t="s">
        <v>1406</v>
      </c>
      <c r="AO269" s="19" t="s">
        <v>1350</v>
      </c>
      <c r="AP269" s="19" t="s">
        <v>1500</v>
      </c>
      <c r="AQ269" s="26" t="str">
        <f>IFERROR(PropInfo[[#This Row],[Yardi]]*1,PropInfo[[#This Row],[Yardi]])</f>
        <v>lax1276</v>
      </c>
    </row>
    <row r="270" spans="1:43" x14ac:dyDescent="0.2">
      <c r="A270" s="43" t="s">
        <v>629</v>
      </c>
      <c r="B270" s="19" t="s">
        <v>630</v>
      </c>
      <c r="C270" s="37">
        <v>272</v>
      </c>
      <c r="D270" s="37">
        <v>175762</v>
      </c>
      <c r="E270" s="19" t="s" vm="166">
        <v>1368</v>
      </c>
      <c r="F270" s="19" t="s">
        <v>1409</v>
      </c>
      <c r="G270" s="19" t="s">
        <v>781</v>
      </c>
      <c r="H270" s="19" t="s">
        <v>630</v>
      </c>
      <c r="I270" s="19" t="s">
        <v>631</v>
      </c>
      <c r="J270" s="19" t="s">
        <v>341</v>
      </c>
      <c r="K270" s="19" t="s">
        <v>6</v>
      </c>
      <c r="L270" s="19">
        <v>90631</v>
      </c>
      <c r="M270" s="19">
        <v>33.921197900000003</v>
      </c>
      <c r="N270" s="19">
        <v>-117.96039</v>
      </c>
      <c r="O270" s="19" t="s">
        <v>929</v>
      </c>
      <c r="P270" s="19" t="s">
        <v>1415</v>
      </c>
      <c r="Q270" s="19" t="s">
        <v>1017</v>
      </c>
      <c r="R270" s="19" t="s">
        <v>510</v>
      </c>
      <c r="S270" s="19" t="s">
        <v>1018</v>
      </c>
      <c r="T270" s="19" t="s">
        <v>1032</v>
      </c>
      <c r="U270" s="19" t="s">
        <v>820</v>
      </c>
      <c r="V270" s="19" t="s">
        <v>782</v>
      </c>
      <c r="W270" s="20">
        <v>1</v>
      </c>
      <c r="X270" s="39">
        <v>1971</v>
      </c>
      <c r="Y270" s="39">
        <v>2014</v>
      </c>
      <c r="Z270" s="25">
        <v>41730</v>
      </c>
      <c r="AA270" s="19">
        <v>2005</v>
      </c>
      <c r="AB270" s="25">
        <v>38200</v>
      </c>
      <c r="AC270" s="19" t="s">
        <v>783</v>
      </c>
      <c r="AD270" s="19" t="s">
        <v>784</v>
      </c>
      <c r="AE270" s="21">
        <v>0</v>
      </c>
      <c r="AF270" s="19">
        <v>2</v>
      </c>
      <c r="AG270" s="19">
        <v>16</v>
      </c>
      <c r="AH270" s="19" t="s">
        <v>870</v>
      </c>
      <c r="AI270" s="19"/>
      <c r="AJ270" s="19"/>
      <c r="AK270" s="19"/>
      <c r="AL270" s="43" t="s">
        <v>673</v>
      </c>
      <c r="AM270" s="19">
        <v>0</v>
      </c>
      <c r="AN270" s="19" t="s">
        <v>1406</v>
      </c>
      <c r="AO270" s="19" t="s">
        <v>1359</v>
      </c>
      <c r="AP270" s="19">
        <v>464</v>
      </c>
      <c r="AQ270" s="26" t="str">
        <f>IFERROR(PropInfo[[#This Row],[Yardi]]*1,PropInfo[[#This Row],[Yardi]])</f>
        <v>lax1121</v>
      </c>
    </row>
    <row r="271" spans="1:43" x14ac:dyDescent="0.2">
      <c r="A271" s="43" t="s">
        <v>473</v>
      </c>
      <c r="B271" s="19" t="s">
        <v>474</v>
      </c>
      <c r="C271" s="37">
        <v>253</v>
      </c>
      <c r="D271" s="37">
        <v>275267</v>
      </c>
      <c r="E271" s="19" t="s" vm="103">
        <v>1368</v>
      </c>
      <c r="F271" s="19" t="s">
        <v>1409</v>
      </c>
      <c r="G271" s="19" t="s">
        <v>781</v>
      </c>
      <c r="H271" s="19" t="s">
        <v>474</v>
      </c>
      <c r="I271" s="19" t="s">
        <v>1051</v>
      </c>
      <c r="J271" s="19" t="s">
        <v>121</v>
      </c>
      <c r="K271" s="19" t="s">
        <v>6</v>
      </c>
      <c r="L271" s="19">
        <v>92707</v>
      </c>
      <c r="M271" s="19">
        <v>33.701093999999998</v>
      </c>
      <c r="N271" s="19">
        <v>-117.86688599999999</v>
      </c>
      <c r="O271" s="19" t="s">
        <v>929</v>
      </c>
      <c r="P271" s="19" t="s">
        <v>1415</v>
      </c>
      <c r="Q271" s="19" t="s">
        <v>1017</v>
      </c>
      <c r="R271" s="19" t="s">
        <v>510</v>
      </c>
      <c r="S271" s="19" t="s">
        <v>1018</v>
      </c>
      <c r="T271" s="19" t="s">
        <v>121</v>
      </c>
      <c r="U271" s="19" t="s">
        <v>820</v>
      </c>
      <c r="V271" s="19" t="s">
        <v>782</v>
      </c>
      <c r="W271" s="20">
        <v>1</v>
      </c>
      <c r="X271" s="39">
        <v>2002</v>
      </c>
      <c r="Y271" s="39">
        <v>2014</v>
      </c>
      <c r="Z271" s="25">
        <v>41730</v>
      </c>
      <c r="AA271" s="19">
        <v>2005</v>
      </c>
      <c r="AB271" s="25">
        <v>38169</v>
      </c>
      <c r="AC271" s="19" t="s">
        <v>804</v>
      </c>
      <c r="AD271" s="19" t="s">
        <v>800</v>
      </c>
      <c r="AE271" s="21">
        <v>0</v>
      </c>
      <c r="AF271" s="19">
        <v>5</v>
      </c>
      <c r="AG271" s="19">
        <v>7</v>
      </c>
      <c r="AH271" s="19" t="s">
        <v>792</v>
      </c>
      <c r="AI271" s="19"/>
      <c r="AJ271" s="19"/>
      <c r="AK271" s="19"/>
      <c r="AL271" s="43" t="s">
        <v>672</v>
      </c>
      <c r="AM271" s="19">
        <v>0</v>
      </c>
      <c r="AN271" s="19" t="s">
        <v>1406</v>
      </c>
      <c r="AO271" s="19" t="s">
        <v>1584</v>
      </c>
      <c r="AP271" s="19">
        <v>13702</v>
      </c>
      <c r="AQ271" s="26" t="str">
        <f>IFERROR(PropInfo[[#This Row],[Yardi]]*1,PropInfo[[#This Row],[Yardi]])</f>
        <v>lax1166</v>
      </c>
    </row>
    <row r="272" spans="1:43" x14ac:dyDescent="0.2">
      <c r="A272" s="43" t="s">
        <v>622</v>
      </c>
      <c r="B272" s="19" t="s">
        <v>623</v>
      </c>
      <c r="C272" s="37">
        <v>272</v>
      </c>
      <c r="D272" s="37">
        <v>262842</v>
      </c>
      <c r="E272" s="19" t="s" vm="146">
        <v>1368</v>
      </c>
      <c r="F272" s="19" t="s">
        <v>1409</v>
      </c>
      <c r="G272" s="19" t="s">
        <v>781</v>
      </c>
      <c r="H272" s="19" t="s">
        <v>623</v>
      </c>
      <c r="I272" s="19" t="s">
        <v>624</v>
      </c>
      <c r="J272" s="19" t="s">
        <v>625</v>
      </c>
      <c r="K272" s="19" t="s">
        <v>6</v>
      </c>
      <c r="L272" s="19">
        <v>92626</v>
      </c>
      <c r="M272" s="19">
        <v>33.676980999999998</v>
      </c>
      <c r="N272" s="19">
        <v>-117.90981499999999</v>
      </c>
      <c r="O272" s="19" t="s">
        <v>929</v>
      </c>
      <c r="P272" s="19" t="s">
        <v>1415</v>
      </c>
      <c r="Q272" s="19" t="s">
        <v>1017</v>
      </c>
      <c r="R272" s="19" t="s">
        <v>510</v>
      </c>
      <c r="S272" s="19" t="s">
        <v>1024</v>
      </c>
      <c r="T272" s="19" t="s">
        <v>625</v>
      </c>
      <c r="U272" s="19" t="s">
        <v>820</v>
      </c>
      <c r="V272" s="19" t="s">
        <v>782</v>
      </c>
      <c r="W272" s="20">
        <v>1</v>
      </c>
      <c r="X272" s="39">
        <v>1974</v>
      </c>
      <c r="Y272" s="39">
        <v>2014</v>
      </c>
      <c r="Z272" s="25">
        <v>41730</v>
      </c>
      <c r="AA272" s="19">
        <v>2005</v>
      </c>
      <c r="AB272" s="25">
        <v>38200</v>
      </c>
      <c r="AC272" s="19" t="s">
        <v>783</v>
      </c>
      <c r="AD272" s="19" t="s">
        <v>784</v>
      </c>
      <c r="AE272" s="21">
        <v>0</v>
      </c>
      <c r="AF272" s="19">
        <v>2</v>
      </c>
      <c r="AG272" s="19">
        <v>18</v>
      </c>
      <c r="AH272" s="19" t="s">
        <v>870</v>
      </c>
      <c r="AI272" s="19"/>
      <c r="AJ272" s="19"/>
      <c r="AK272" s="19"/>
      <c r="AL272" s="43" t="s">
        <v>671</v>
      </c>
      <c r="AM272" s="19">
        <v>0</v>
      </c>
      <c r="AN272" s="19" t="s">
        <v>1406</v>
      </c>
      <c r="AO272" s="19" t="s">
        <v>1584</v>
      </c>
      <c r="AP272" s="19">
        <v>9769</v>
      </c>
      <c r="AQ272" s="26" t="str">
        <f>IFERROR(PropInfo[[#This Row],[Yardi]]*1,PropInfo[[#This Row],[Yardi]])</f>
        <v>lax1184</v>
      </c>
    </row>
    <row r="273" spans="1:43" x14ac:dyDescent="0.2">
      <c r="A273" s="43" t="s">
        <v>470</v>
      </c>
      <c r="B273" s="19" t="s">
        <v>471</v>
      </c>
      <c r="C273" s="37">
        <v>192</v>
      </c>
      <c r="D273" s="37">
        <v>178871</v>
      </c>
      <c r="E273" s="19" t="s" vm="167">
        <v>1368</v>
      </c>
      <c r="F273" s="19" t="s">
        <v>1409</v>
      </c>
      <c r="G273" s="19" t="s">
        <v>781</v>
      </c>
      <c r="H273" s="19" t="s">
        <v>471</v>
      </c>
      <c r="I273" s="19" t="s">
        <v>472</v>
      </c>
      <c r="J273" s="19" t="s">
        <v>160</v>
      </c>
      <c r="K273" s="19" t="s">
        <v>6</v>
      </c>
      <c r="L273" s="19">
        <v>92832</v>
      </c>
      <c r="M273" s="19">
        <v>33.870466999999998</v>
      </c>
      <c r="N273" s="19">
        <v>-117.920457</v>
      </c>
      <c r="O273" s="19" t="s">
        <v>929</v>
      </c>
      <c r="P273" s="19" t="s">
        <v>1415</v>
      </c>
      <c r="Q273" s="19" t="s">
        <v>1017</v>
      </c>
      <c r="R273" s="19" t="s">
        <v>510</v>
      </c>
      <c r="S273" s="19" t="s">
        <v>1018</v>
      </c>
      <c r="T273" s="19" t="s">
        <v>160</v>
      </c>
      <c r="U273" s="19" t="s">
        <v>820</v>
      </c>
      <c r="V273" s="19" t="s">
        <v>782</v>
      </c>
      <c r="W273" s="20">
        <v>1</v>
      </c>
      <c r="X273" s="39">
        <v>2004</v>
      </c>
      <c r="Y273" s="39">
        <v>2014</v>
      </c>
      <c r="Z273" s="25">
        <v>41730</v>
      </c>
      <c r="AA273" s="19">
        <v>2005</v>
      </c>
      <c r="AB273" s="25">
        <v>38200</v>
      </c>
      <c r="AC273" s="19" t="s">
        <v>804</v>
      </c>
      <c r="AD273" s="19" t="s">
        <v>800</v>
      </c>
      <c r="AE273" s="21">
        <v>0</v>
      </c>
      <c r="AF273" s="19">
        <v>5</v>
      </c>
      <c r="AG273" s="19">
        <v>1</v>
      </c>
      <c r="AH273" s="19" t="s">
        <v>792</v>
      </c>
      <c r="AI273" s="19"/>
      <c r="AJ273" s="19"/>
      <c r="AK273" s="19"/>
      <c r="AL273" s="43" t="s">
        <v>670</v>
      </c>
      <c r="AM273" s="19">
        <v>0</v>
      </c>
      <c r="AN273" s="19" t="s">
        <v>1406</v>
      </c>
      <c r="AO273" s="19" t="s">
        <v>1529</v>
      </c>
      <c r="AP273" s="19">
        <v>14065</v>
      </c>
      <c r="AQ273" s="26" t="str">
        <f>IFERROR(PropInfo[[#This Row],[Yardi]]*1,PropInfo[[#This Row],[Yardi]])</f>
        <v>lax1199</v>
      </c>
    </row>
    <row r="274" spans="1:43" x14ac:dyDescent="0.2">
      <c r="A274" s="43" t="s">
        <v>478</v>
      </c>
      <c r="B274" s="19" t="s">
        <v>479</v>
      </c>
      <c r="C274" s="37">
        <v>362</v>
      </c>
      <c r="D274" s="37">
        <v>355706</v>
      </c>
      <c r="E274" s="19" t="s" vm="226">
        <v>1368</v>
      </c>
      <c r="F274" s="19" t="s">
        <v>1409</v>
      </c>
      <c r="G274" s="19" t="s">
        <v>781</v>
      </c>
      <c r="H274" s="19" t="s">
        <v>479</v>
      </c>
      <c r="I274" s="19" t="s">
        <v>480</v>
      </c>
      <c r="J274" s="19" t="s">
        <v>481</v>
      </c>
      <c r="K274" s="19" t="s">
        <v>6</v>
      </c>
      <c r="L274" s="19">
        <v>92673</v>
      </c>
      <c r="M274" s="19">
        <v>33.459136999999998</v>
      </c>
      <c r="N274" s="19">
        <v>-117.57382699999999</v>
      </c>
      <c r="O274" s="19" t="s">
        <v>929</v>
      </c>
      <c r="P274" s="19" t="s">
        <v>1415</v>
      </c>
      <c r="Q274" s="19" t="s">
        <v>1017</v>
      </c>
      <c r="R274" s="19" t="s">
        <v>510</v>
      </c>
      <c r="S274" s="19" t="s">
        <v>1024</v>
      </c>
      <c r="T274" s="19" t="s">
        <v>1042</v>
      </c>
      <c r="U274" s="19" t="s">
        <v>820</v>
      </c>
      <c r="V274" s="19" t="s">
        <v>782</v>
      </c>
      <c r="W274" s="20">
        <v>1</v>
      </c>
      <c r="X274" s="39">
        <v>2002</v>
      </c>
      <c r="Y274" s="39">
        <v>2014</v>
      </c>
      <c r="Z274" s="25">
        <v>41730</v>
      </c>
      <c r="AA274" s="19">
        <v>2007</v>
      </c>
      <c r="AB274" s="25">
        <v>38777</v>
      </c>
      <c r="AC274" s="19" t="s">
        <v>783</v>
      </c>
      <c r="AD274" s="19" t="s">
        <v>784</v>
      </c>
      <c r="AE274" s="21">
        <v>0</v>
      </c>
      <c r="AF274" s="19">
        <v>3</v>
      </c>
      <c r="AG274" s="19">
        <v>14</v>
      </c>
      <c r="AH274" s="19" t="s">
        <v>792</v>
      </c>
      <c r="AI274" s="19"/>
      <c r="AJ274" s="19"/>
      <c r="AK274" s="19"/>
      <c r="AL274" s="43" t="s">
        <v>704</v>
      </c>
      <c r="AM274" s="19">
        <v>0</v>
      </c>
      <c r="AN274" s="19" t="s">
        <v>1406</v>
      </c>
      <c r="AO274" s="19" t="s">
        <v>1361</v>
      </c>
      <c r="AP274" s="19">
        <v>13500</v>
      </c>
      <c r="AQ274" s="26" t="str">
        <f>IFERROR(PropInfo[[#This Row],[Yardi]]*1,PropInfo[[#This Row],[Yardi]])</f>
        <v>lax1201</v>
      </c>
    </row>
    <row r="275" spans="1:43" hidden="1" x14ac:dyDescent="0.2">
      <c r="A275" s="43" t="s">
        <v>545</v>
      </c>
      <c r="B275" s="19" t="s">
        <v>1200</v>
      </c>
      <c r="C275" s="37">
        <v>6</v>
      </c>
      <c r="D275" s="37">
        <v>10064</v>
      </c>
      <c r="E275" s="19" t="s">
        <v>762</v>
      </c>
      <c r="F275" s="19" t="s">
        <v>1409</v>
      </c>
      <c r="G275" s="19" t="s">
        <v>835</v>
      </c>
      <c r="H275" s="19" t="s">
        <v>543</v>
      </c>
      <c r="I275" s="19" t="s">
        <v>544</v>
      </c>
      <c r="J275" s="19" t="s">
        <v>61</v>
      </c>
      <c r="K275" s="19" t="s">
        <v>27</v>
      </c>
      <c r="L275" s="19">
        <v>98033</v>
      </c>
      <c r="M275" s="19">
        <v>47.703029999999998</v>
      </c>
      <c r="N275" s="19">
        <v>-122.175797</v>
      </c>
      <c r="O275" s="19" t="s">
        <v>1090</v>
      </c>
      <c r="P275" s="19" t="s">
        <v>1412</v>
      </c>
      <c r="Q275" s="19" t="s">
        <v>1091</v>
      </c>
      <c r="R275" s="19" t="s">
        <v>1092</v>
      </c>
      <c r="S275" s="19" t="s">
        <v>1093</v>
      </c>
      <c r="T275" s="19" t="s">
        <v>1108</v>
      </c>
      <c r="U275" s="19" t="s">
        <v>790</v>
      </c>
      <c r="V275" s="19" t="s">
        <v>782</v>
      </c>
      <c r="W275" s="20">
        <v>1</v>
      </c>
      <c r="X275" s="39">
        <v>2013</v>
      </c>
      <c r="Y275" s="39">
        <v>2013</v>
      </c>
      <c r="Z275" s="25">
        <v>41537</v>
      </c>
      <c r="AA275" s="19">
        <v>2015</v>
      </c>
      <c r="AB275" s="25">
        <v>41760</v>
      </c>
      <c r="AC275" s="19" t="s">
        <v>804</v>
      </c>
      <c r="AD275" s="19" t="s">
        <v>800</v>
      </c>
      <c r="AE275" s="21">
        <v>0</v>
      </c>
      <c r="AF275" s="19">
        <v>4</v>
      </c>
      <c r="AG275" s="19">
        <v>2</v>
      </c>
      <c r="AH275" s="19" t="s">
        <v>792</v>
      </c>
      <c r="AI275" s="19"/>
      <c r="AJ275" s="19"/>
      <c r="AK275" s="19"/>
      <c r="AL275" s="43" t="e">
        <v>#N/A</v>
      </c>
      <c r="AM275" s="19" t="e">
        <v>#N/A</v>
      </c>
      <c r="AN275" s="19" t="e">
        <v>#N/A</v>
      </c>
      <c r="AO275" s="19" t="s">
        <v>1565</v>
      </c>
      <c r="AP275" s="19">
        <v>0</v>
      </c>
      <c r="AQ275" s="26">
        <f>IFERROR(PropInfo[[#This Row],[Yardi]]*1,PropInfo[[#This Row],[Yardi]])</f>
        <v>339</v>
      </c>
    </row>
    <row r="276" spans="1:43" x14ac:dyDescent="0.2">
      <c r="A276" s="43" t="s">
        <v>207</v>
      </c>
      <c r="B276" s="19" t="s">
        <v>208</v>
      </c>
      <c r="C276" s="37">
        <v>308</v>
      </c>
      <c r="D276" s="37">
        <v>277580</v>
      </c>
      <c r="E276" s="19" t="s" vm="104">
        <v>1368</v>
      </c>
      <c r="F276" s="19" t="s">
        <v>1409</v>
      </c>
      <c r="G276" s="19" t="s">
        <v>781</v>
      </c>
      <c r="H276" s="19" t="s">
        <v>208</v>
      </c>
      <c r="I276" s="19" t="s">
        <v>209</v>
      </c>
      <c r="J276" s="19" t="s">
        <v>1047</v>
      </c>
      <c r="K276" s="19" t="s">
        <v>6</v>
      </c>
      <c r="L276" s="19">
        <v>92688</v>
      </c>
      <c r="M276" s="19">
        <v>33.652351000000003</v>
      </c>
      <c r="N276" s="19">
        <v>-117.61156099999999</v>
      </c>
      <c r="O276" s="19" t="s">
        <v>929</v>
      </c>
      <c r="P276" s="19" t="s">
        <v>1415</v>
      </c>
      <c r="Q276" s="19" t="s">
        <v>1017</v>
      </c>
      <c r="R276" s="19" t="s">
        <v>510</v>
      </c>
      <c r="S276" s="19" t="s">
        <v>1024</v>
      </c>
      <c r="T276" s="19" t="s">
        <v>1045</v>
      </c>
      <c r="U276" s="19" t="s">
        <v>820</v>
      </c>
      <c r="V276" s="19" t="s">
        <v>782</v>
      </c>
      <c r="W276" s="20">
        <v>1</v>
      </c>
      <c r="X276" s="39">
        <v>1999</v>
      </c>
      <c r="Y276" s="39">
        <v>2014</v>
      </c>
      <c r="Z276" s="25">
        <v>41730</v>
      </c>
      <c r="AA276" s="19">
        <v>2005</v>
      </c>
      <c r="AB276" s="25">
        <v>38078</v>
      </c>
      <c r="AC276" s="19" t="s">
        <v>783</v>
      </c>
      <c r="AD276" s="19" t="s">
        <v>784</v>
      </c>
      <c r="AE276" s="21">
        <v>0</v>
      </c>
      <c r="AF276" s="19">
        <v>3</v>
      </c>
      <c r="AG276" s="19">
        <v>13</v>
      </c>
      <c r="AH276" s="19" t="s">
        <v>792</v>
      </c>
      <c r="AI276" s="19"/>
      <c r="AJ276" s="19"/>
      <c r="AK276" s="19"/>
      <c r="AL276" s="43" t="s">
        <v>703</v>
      </c>
      <c r="AM276" s="19">
        <v>14</v>
      </c>
      <c r="AN276" s="19" t="s">
        <v>1403</v>
      </c>
      <c r="AO276" s="19" t="s">
        <v>1361</v>
      </c>
      <c r="AP276" s="19">
        <v>10667</v>
      </c>
      <c r="AQ276" s="26" t="str">
        <f>IFERROR(PropInfo[[#This Row],[Yardi]]*1,PropInfo[[#This Row],[Yardi]])</f>
        <v>lax1209</v>
      </c>
    </row>
    <row r="277" spans="1:43" hidden="1" x14ac:dyDescent="0.2">
      <c r="A277" s="43" t="s">
        <v>1160</v>
      </c>
      <c r="B277" s="19" t="s">
        <v>1161</v>
      </c>
      <c r="C277" s="37">
        <v>13</v>
      </c>
      <c r="D277" s="37">
        <v>22833</v>
      </c>
      <c r="E277" s="19" t="s">
        <v>762</v>
      </c>
      <c r="F277" s="19" t="s">
        <v>1409</v>
      </c>
      <c r="G277" s="19" t="s">
        <v>835</v>
      </c>
      <c r="H277" s="19" t="s">
        <v>547</v>
      </c>
      <c r="I277" s="19" t="s">
        <v>851</v>
      </c>
      <c r="J277" s="19" t="s">
        <v>138</v>
      </c>
      <c r="K277" s="19" t="s">
        <v>6</v>
      </c>
      <c r="L277" s="19">
        <v>94086</v>
      </c>
      <c r="M277" s="19">
        <v>37.376317</v>
      </c>
      <c r="N277" s="19">
        <v>-122.031464</v>
      </c>
      <c r="O277" s="19" t="s">
        <v>786</v>
      </c>
      <c r="P277" s="19" t="s">
        <v>1414</v>
      </c>
      <c r="Q277" s="19" t="s">
        <v>787</v>
      </c>
      <c r="R277" s="19" t="s">
        <v>5</v>
      </c>
      <c r="S277" s="19" t="s">
        <v>788</v>
      </c>
      <c r="T277" s="19" t="s">
        <v>843</v>
      </c>
      <c r="U277" s="19" t="s">
        <v>820</v>
      </c>
      <c r="V277" s="19" t="s">
        <v>782</v>
      </c>
      <c r="W277" s="20">
        <v>1</v>
      </c>
      <c r="X277" s="39">
        <v>2014</v>
      </c>
      <c r="Y277" s="39">
        <v>2014</v>
      </c>
      <c r="Z277" s="25">
        <v>41730</v>
      </c>
      <c r="AA277" s="19">
        <v>2015</v>
      </c>
      <c r="AB277" s="25">
        <v>41852</v>
      </c>
      <c r="AC277" s="19" t="s">
        <v>804</v>
      </c>
      <c r="AD277" s="19" t="s">
        <v>800</v>
      </c>
      <c r="AE277" s="21">
        <v>0</v>
      </c>
      <c r="AF277" s="19">
        <v>5</v>
      </c>
      <c r="AG277" s="19">
        <v>2</v>
      </c>
      <c r="AH277" s="19" t="s">
        <v>792</v>
      </c>
      <c r="AI277" s="19"/>
      <c r="AJ277" s="19"/>
      <c r="AK277" s="19"/>
      <c r="AL277" s="43" t="e">
        <v>#N/A</v>
      </c>
      <c r="AM277" s="19" t="e">
        <v>#N/A</v>
      </c>
      <c r="AN277" s="19" t="e">
        <v>#N/A</v>
      </c>
      <c r="AO277" s="19" t="s">
        <v>1565</v>
      </c>
      <c r="AP277" s="19">
        <v>0</v>
      </c>
      <c r="AQ277" s="26" t="str">
        <f>IFERROR(PropInfo[[#This Row],[Yardi]]*1,PropInfo[[#This Row],[Yardi]])</f>
        <v>sfo2273</v>
      </c>
    </row>
    <row r="278" spans="1:43" hidden="1" x14ac:dyDescent="0.2">
      <c r="A278" s="43" t="s">
        <v>705</v>
      </c>
      <c r="B278" s="19" t="s">
        <v>1167</v>
      </c>
      <c r="C278" s="37">
        <v>1</v>
      </c>
      <c r="D278" s="37"/>
      <c r="E278" s="19" t="s">
        <v>1369</v>
      </c>
      <c r="F278" s="19" t="s">
        <v>1411</v>
      </c>
      <c r="G278" s="19" t="s">
        <v>835</v>
      </c>
      <c r="H278" s="19" t="s">
        <v>901</v>
      </c>
      <c r="I278" s="19" t="s">
        <v>902</v>
      </c>
      <c r="J278" s="19" t="s">
        <v>345</v>
      </c>
      <c r="K278" s="19" t="s">
        <v>6</v>
      </c>
      <c r="L278" s="19">
        <v>94402</v>
      </c>
      <c r="M278" s="19">
        <v>37.554349999999999</v>
      </c>
      <c r="N278" s="19">
        <v>-122.30855099999999</v>
      </c>
      <c r="O278" s="19" t="s">
        <v>786</v>
      </c>
      <c r="P278" s="19" t="s">
        <v>1414</v>
      </c>
      <c r="Q278" s="19" t="s">
        <v>893</v>
      </c>
      <c r="R278" s="19" t="s">
        <v>345</v>
      </c>
      <c r="S278" s="19" t="s">
        <v>345</v>
      </c>
      <c r="T278" s="19" t="s">
        <v>895</v>
      </c>
      <c r="U278" s="19" t="s">
        <v>779</v>
      </c>
      <c r="V278" s="19" t="s">
        <v>782</v>
      </c>
      <c r="W278" s="20">
        <v>1</v>
      </c>
      <c r="X278" s="39">
        <v>2018</v>
      </c>
      <c r="Y278" s="39">
        <v>2015</v>
      </c>
      <c r="Z278" s="25">
        <v>42045</v>
      </c>
      <c r="AA278" s="19"/>
      <c r="AB278" s="25"/>
      <c r="AC278" s="19" t="s">
        <v>804</v>
      </c>
      <c r="AD278" s="19" t="s">
        <v>796</v>
      </c>
      <c r="AE278" s="21">
        <v>0</v>
      </c>
      <c r="AF278" s="19">
        <v>5</v>
      </c>
      <c r="AG278" s="19">
        <v>3</v>
      </c>
      <c r="AH278" s="19"/>
      <c r="AI278" s="19"/>
      <c r="AJ278" s="19"/>
      <c r="AK278" s="19"/>
      <c r="AL278" s="43" t="e">
        <v>#N/A</v>
      </c>
      <c r="AM278" s="19" t="e">
        <v>#N/A</v>
      </c>
      <c r="AN278" s="19" t="e">
        <v>#N/A</v>
      </c>
      <c r="AO278" s="19" t="s">
        <v>1565</v>
      </c>
      <c r="AP278" s="19" t="e">
        <v>#N/A</v>
      </c>
      <c r="AQ278" s="26">
        <f>IFERROR(PropInfo[[#This Row],[Yardi]]*1,PropInfo[[#This Row],[Yardi]])</f>
        <v>483</v>
      </c>
    </row>
    <row r="279" spans="1:43" x14ac:dyDescent="0.2">
      <c r="A279" s="43" t="s">
        <v>586</v>
      </c>
      <c r="B279" s="19" t="s">
        <v>1040</v>
      </c>
      <c r="C279" s="37">
        <v>460</v>
      </c>
      <c r="D279" s="37">
        <v>362136</v>
      </c>
      <c r="E279" s="19" t="s" vm="169">
        <v>1368</v>
      </c>
      <c r="F279" s="19" t="s">
        <v>1409</v>
      </c>
      <c r="G279" s="19" t="s">
        <v>781</v>
      </c>
      <c r="H279" s="19" t="s">
        <v>1040</v>
      </c>
      <c r="I279" s="19" t="s">
        <v>1041</v>
      </c>
      <c r="J279" s="19" t="s">
        <v>587</v>
      </c>
      <c r="K279" s="19" t="s">
        <v>6</v>
      </c>
      <c r="L279" s="19">
        <v>92677</v>
      </c>
      <c r="M279" s="19">
        <v>33.553144000000003</v>
      </c>
      <c r="N279" s="19">
        <v>-117.697155</v>
      </c>
      <c r="O279" s="19" t="s">
        <v>929</v>
      </c>
      <c r="P279" s="19" t="s">
        <v>1415</v>
      </c>
      <c r="Q279" s="19" t="s">
        <v>1017</v>
      </c>
      <c r="R279" s="19" t="s">
        <v>510</v>
      </c>
      <c r="S279" s="19" t="s">
        <v>1024</v>
      </c>
      <c r="T279" s="19" t="s">
        <v>1042</v>
      </c>
      <c r="U279" s="19" t="s">
        <v>820</v>
      </c>
      <c r="V279" s="19" t="s">
        <v>782</v>
      </c>
      <c r="W279" s="20">
        <v>1</v>
      </c>
      <c r="X279" s="39">
        <v>1988</v>
      </c>
      <c r="Y279" s="39">
        <v>2014</v>
      </c>
      <c r="Z279" s="25">
        <v>41730</v>
      </c>
      <c r="AA279" s="19">
        <v>2005</v>
      </c>
      <c r="AB279" s="25">
        <v>38108</v>
      </c>
      <c r="AC279" s="19" t="s">
        <v>783</v>
      </c>
      <c r="AD279" s="19" t="s">
        <v>784</v>
      </c>
      <c r="AE279" s="21">
        <v>0</v>
      </c>
      <c r="AF279" s="19">
        <v>2</v>
      </c>
      <c r="AG279" s="19">
        <v>28</v>
      </c>
      <c r="AH279" s="19" t="s">
        <v>792</v>
      </c>
      <c r="AI279" s="19"/>
      <c r="AJ279" s="19"/>
      <c r="AK279" s="19"/>
      <c r="AL279" s="43" t="s">
        <v>702</v>
      </c>
      <c r="AM279" s="19">
        <v>0</v>
      </c>
      <c r="AN279" s="19" t="s">
        <v>1406</v>
      </c>
      <c r="AO279" s="19" t="s">
        <v>1361</v>
      </c>
      <c r="AP279" s="19">
        <v>13253</v>
      </c>
      <c r="AQ279" s="26" t="str">
        <f>IFERROR(PropInfo[[#This Row],[Yardi]]*1,PropInfo[[#This Row],[Yardi]])</f>
        <v>lax1226</v>
      </c>
    </row>
    <row r="280" spans="1:43" hidden="1" x14ac:dyDescent="0.2">
      <c r="A280" s="43" t="s">
        <v>1401</v>
      </c>
      <c r="B280" s="19" t="s">
        <v>1395</v>
      </c>
      <c r="C280" s="37">
        <v>199</v>
      </c>
      <c r="D280" s="37"/>
      <c r="E280" s="19" t="s" vm="223">
        <v>1369</v>
      </c>
      <c r="F280" s="19" t="s">
        <v>1411</v>
      </c>
      <c r="G280" s="19" t="s">
        <v>781</v>
      </c>
      <c r="H280" s="19" t="s">
        <v>901</v>
      </c>
      <c r="I280" s="19"/>
      <c r="J280" s="19"/>
      <c r="K280" s="19"/>
      <c r="L280" s="19"/>
      <c r="M280" s="19">
        <v>37.554349999999999</v>
      </c>
      <c r="N280" s="19">
        <v>-122.30855099999999</v>
      </c>
      <c r="O280" s="19" t="s">
        <v>786</v>
      </c>
      <c r="P280" s="19" t="s">
        <v>1414</v>
      </c>
      <c r="Q280" s="19" t="s">
        <v>893</v>
      </c>
      <c r="R280" s="19" t="s">
        <v>345</v>
      </c>
      <c r="S280" s="19" t="s">
        <v>345</v>
      </c>
      <c r="T280" s="19" t="s">
        <v>895</v>
      </c>
      <c r="U280" s="19" t="s">
        <v>779</v>
      </c>
      <c r="V280" s="19" t="s">
        <v>782</v>
      </c>
      <c r="W280" s="20">
        <v>1</v>
      </c>
      <c r="X280" s="39">
        <v>2019</v>
      </c>
      <c r="Y280" s="39">
        <v>2015</v>
      </c>
      <c r="Z280" s="25">
        <v>42045</v>
      </c>
      <c r="AA280" s="19"/>
      <c r="AB280" s="25"/>
      <c r="AC280" s="19" t="s">
        <v>804</v>
      </c>
      <c r="AD280" s="19" t="s">
        <v>796</v>
      </c>
      <c r="AE280" s="21">
        <f>+PropInfo[[#This Row],[Units]]</f>
        <v>199</v>
      </c>
      <c r="AF280" s="19">
        <v>5</v>
      </c>
      <c r="AG280" s="19"/>
      <c r="AH280" s="19"/>
      <c r="AI280" s="19"/>
      <c r="AJ280" s="19"/>
      <c r="AK280" s="19"/>
      <c r="AL280" s="43"/>
      <c r="AM280" s="19" t="e">
        <v>#N/A</v>
      </c>
      <c r="AN280" s="19" t="e">
        <v>#N/A</v>
      </c>
      <c r="AO280" s="19" t="s">
        <v>1565</v>
      </c>
      <c r="AP280" s="19" t="e">
        <v>#N/A</v>
      </c>
      <c r="AQ280" s="26" t="str">
        <f>IFERROR(PropInfo[[#This Row],[Yardi]]*1,PropInfo[[#This Row],[Yardi]])</f>
        <v>482-2</v>
      </c>
    </row>
    <row r="281" spans="1:43" hidden="1" x14ac:dyDescent="0.2">
      <c r="A281" s="43" t="s">
        <v>1402</v>
      </c>
      <c r="B281" s="19" t="s">
        <v>1396</v>
      </c>
      <c r="C281" s="37">
        <v>172</v>
      </c>
      <c r="D281" s="37"/>
      <c r="E281" s="19" t="s" vm="223">
        <v>1369</v>
      </c>
      <c r="F281" s="19" t="s">
        <v>1411</v>
      </c>
      <c r="G281" s="19" t="s">
        <v>781</v>
      </c>
      <c r="H281" s="19" t="s">
        <v>901</v>
      </c>
      <c r="I281" s="19"/>
      <c r="J281" s="19"/>
      <c r="K281" s="19"/>
      <c r="L281" s="19"/>
      <c r="M281" s="19">
        <v>37.554349999999999</v>
      </c>
      <c r="N281" s="19">
        <v>-122.30855099999999</v>
      </c>
      <c r="O281" s="19" t="s">
        <v>786</v>
      </c>
      <c r="P281" s="19" t="s">
        <v>1414</v>
      </c>
      <c r="Q281" s="19" t="s">
        <v>893</v>
      </c>
      <c r="R281" s="19" t="s">
        <v>345</v>
      </c>
      <c r="S281" s="19" t="s">
        <v>345</v>
      </c>
      <c r="T281" s="19" t="s">
        <v>895</v>
      </c>
      <c r="U281" s="19" t="s">
        <v>779</v>
      </c>
      <c r="V281" s="19" t="s">
        <v>782</v>
      </c>
      <c r="W281" s="20">
        <v>1</v>
      </c>
      <c r="X281" s="39">
        <v>2019</v>
      </c>
      <c r="Y281" s="39">
        <v>2015</v>
      </c>
      <c r="Z281" s="25">
        <v>42045</v>
      </c>
      <c r="AA281" s="19"/>
      <c r="AB281" s="25"/>
      <c r="AC281" s="19" t="s">
        <v>804</v>
      </c>
      <c r="AD281" s="19" t="s">
        <v>796</v>
      </c>
      <c r="AE281" s="21">
        <f>+PropInfo[[#This Row],[Units]]</f>
        <v>172</v>
      </c>
      <c r="AF281" s="19">
        <v>5</v>
      </c>
      <c r="AG281" s="19"/>
      <c r="AH281" s="19"/>
      <c r="AI281" s="19"/>
      <c r="AJ281" s="19"/>
      <c r="AK281" s="19"/>
      <c r="AL281" s="43"/>
      <c r="AM281" s="19" t="e">
        <v>#N/A</v>
      </c>
      <c r="AN281" s="19" t="e">
        <v>#N/A</v>
      </c>
      <c r="AO281" s="19" t="s">
        <v>1565</v>
      </c>
      <c r="AP281" s="19" t="e">
        <v>#N/A</v>
      </c>
      <c r="AQ281" s="26" t="str">
        <f>IFERROR(PropInfo[[#This Row],[Yardi]]*1,PropInfo[[#This Row],[Yardi]])</f>
        <v>482-3</v>
      </c>
    </row>
    <row r="282" spans="1:43" hidden="1" x14ac:dyDescent="0.2">
      <c r="A282" s="43" t="s">
        <v>1221</v>
      </c>
      <c r="B282" s="19" t="s">
        <v>903</v>
      </c>
      <c r="C282" s="37"/>
      <c r="D282" s="37"/>
      <c r="E282" s="19" t="s" vm="14">
        <v>1369</v>
      </c>
      <c r="F282" s="19" t="s">
        <v>1411</v>
      </c>
      <c r="G282" s="19" t="s">
        <v>781</v>
      </c>
      <c r="H282" s="19" t="s">
        <v>901</v>
      </c>
      <c r="I282" s="19" t="s">
        <v>902</v>
      </c>
      <c r="J282" s="19" t="s">
        <v>345</v>
      </c>
      <c r="K282" s="19" t="s">
        <v>6</v>
      </c>
      <c r="L282" s="19">
        <v>94402</v>
      </c>
      <c r="M282" s="19">
        <v>37.554349999999999</v>
      </c>
      <c r="N282" s="19">
        <v>-122.30855099999999</v>
      </c>
      <c r="O282" s="19" t="s">
        <v>786</v>
      </c>
      <c r="P282" s="19" t="s">
        <v>1414</v>
      </c>
      <c r="Q282" s="19" t="s">
        <v>893</v>
      </c>
      <c r="R282" s="19" t="s">
        <v>345</v>
      </c>
      <c r="S282" s="19" t="s">
        <v>345</v>
      </c>
      <c r="T282" s="19" t="s">
        <v>895</v>
      </c>
      <c r="U282" s="19" t="s">
        <v>779</v>
      </c>
      <c r="V282" s="19" t="s">
        <v>782</v>
      </c>
      <c r="W282" s="20">
        <v>1</v>
      </c>
      <c r="X282" s="39"/>
      <c r="Y282" s="39"/>
      <c r="Z282" s="25">
        <v>42045</v>
      </c>
      <c r="AA282" s="19"/>
      <c r="AB282" s="25"/>
      <c r="AC282" s="19" t="s">
        <v>783</v>
      </c>
      <c r="AD282" s="19" t="s">
        <v>796</v>
      </c>
      <c r="AE282" s="21">
        <f>+PropInfo[[#This Row],[Units]]</f>
        <v>0</v>
      </c>
      <c r="AF282" s="19">
        <v>5</v>
      </c>
      <c r="AG282" s="19">
        <v>2</v>
      </c>
      <c r="AH282" s="19"/>
      <c r="AI282" s="19"/>
      <c r="AJ282" s="19"/>
      <c r="AK282" s="19"/>
      <c r="AL282" s="43" t="e">
        <v>#N/A</v>
      </c>
      <c r="AM282" s="19" t="e">
        <v>#N/A</v>
      </c>
      <c r="AN282" s="19" t="e">
        <v>#N/A</v>
      </c>
      <c r="AO282" s="19" t="s">
        <v>1565</v>
      </c>
      <c r="AP282" s="19" t="e">
        <v>#N/A</v>
      </c>
      <c r="AQ282" s="26" t="str">
        <f>IFERROR(PropInfo[[#This Row],[Yardi]]*1,PropInfo[[#This Row],[Yardi]])</f>
        <v>DEV3</v>
      </c>
    </row>
    <row r="283" spans="1:43" x14ac:dyDescent="0.2">
      <c r="A283" s="43" t="s">
        <v>508</v>
      </c>
      <c r="B283" s="19" t="s">
        <v>509</v>
      </c>
      <c r="C283" s="37">
        <v>460</v>
      </c>
      <c r="D283" s="37">
        <v>428926</v>
      </c>
      <c r="E283" s="19" t="s" vm="170">
        <v>1368</v>
      </c>
      <c r="F283" s="19" t="s">
        <v>1409</v>
      </c>
      <c r="G283" s="19" t="s">
        <v>781</v>
      </c>
      <c r="H283" s="19" t="s">
        <v>509</v>
      </c>
      <c r="I283" s="19" t="s">
        <v>1023</v>
      </c>
      <c r="J283" s="19" t="s">
        <v>510</v>
      </c>
      <c r="K283" s="19" t="s">
        <v>6</v>
      </c>
      <c r="L283" s="19">
        <v>92868</v>
      </c>
      <c r="M283" s="19">
        <v>33.788153999999999</v>
      </c>
      <c r="N283" s="19">
        <v>-117.884052</v>
      </c>
      <c r="O283" s="19" t="s">
        <v>929</v>
      </c>
      <c r="P283" s="19" t="s">
        <v>1415</v>
      </c>
      <c r="Q283" s="19" t="s">
        <v>1017</v>
      </c>
      <c r="R283" s="19" t="s">
        <v>510</v>
      </c>
      <c r="S283" s="19" t="s">
        <v>1018</v>
      </c>
      <c r="T283" s="19" t="s">
        <v>1019</v>
      </c>
      <c r="U283" s="19" t="s">
        <v>820</v>
      </c>
      <c r="V283" s="19" t="s">
        <v>782</v>
      </c>
      <c r="W283" s="20">
        <v>1</v>
      </c>
      <c r="X283" s="39">
        <v>2007</v>
      </c>
      <c r="Y283" s="39">
        <v>2014</v>
      </c>
      <c r="Z283" s="25">
        <v>41730</v>
      </c>
      <c r="AA283" s="19">
        <v>2010</v>
      </c>
      <c r="AB283" s="25">
        <v>40026</v>
      </c>
      <c r="AC283" s="19" t="s">
        <v>783</v>
      </c>
      <c r="AD283" s="19" t="s">
        <v>796</v>
      </c>
      <c r="AE283" s="21">
        <v>0</v>
      </c>
      <c r="AF283" s="19">
        <v>4</v>
      </c>
      <c r="AG283" s="19">
        <v>6</v>
      </c>
      <c r="AH283" s="19" t="s">
        <v>792</v>
      </c>
      <c r="AI283" s="19"/>
      <c r="AJ283" s="19"/>
      <c r="AK283" s="19"/>
      <c r="AL283" s="43" t="s">
        <v>701</v>
      </c>
      <c r="AM283" s="19">
        <v>0</v>
      </c>
      <c r="AN283" s="19" t="s">
        <v>1406</v>
      </c>
      <c r="AO283" s="19" t="s">
        <v>1529</v>
      </c>
      <c r="AP283" s="19">
        <v>20812</v>
      </c>
      <c r="AQ283" s="26" t="str">
        <f>IFERROR(PropInfo[[#This Row],[Yardi]]*1,PropInfo[[#This Row],[Yardi]])</f>
        <v>lax1242</v>
      </c>
    </row>
    <row r="284" spans="1:43" x14ac:dyDescent="0.2">
      <c r="A284" s="43" t="s">
        <v>452</v>
      </c>
      <c r="B284" s="19" t="s">
        <v>453</v>
      </c>
      <c r="C284" s="37">
        <v>320</v>
      </c>
      <c r="D284" s="37">
        <v>254600</v>
      </c>
      <c r="E284" s="19" t="s" vm="153">
        <v>1368</v>
      </c>
      <c r="F284" s="19" t="s">
        <v>1409</v>
      </c>
      <c r="G284" s="19" t="s">
        <v>781</v>
      </c>
      <c r="H284" s="19" t="s">
        <v>453</v>
      </c>
      <c r="I284" s="19" t="s">
        <v>1022</v>
      </c>
      <c r="J284" s="19" t="s">
        <v>47</v>
      </c>
      <c r="K284" s="19" t="s">
        <v>6</v>
      </c>
      <c r="L284" s="19">
        <v>92805</v>
      </c>
      <c r="M284" s="19">
        <v>33.803587100000001</v>
      </c>
      <c r="N284" s="19">
        <v>-117.8930435</v>
      </c>
      <c r="O284" s="19" t="s">
        <v>929</v>
      </c>
      <c r="P284" s="19" t="s">
        <v>1415</v>
      </c>
      <c r="Q284" s="19" t="s">
        <v>1017</v>
      </c>
      <c r="R284" s="19" t="s">
        <v>510</v>
      </c>
      <c r="S284" s="19" t="s">
        <v>1018</v>
      </c>
      <c r="T284" s="19" t="s">
        <v>1019</v>
      </c>
      <c r="U284" s="19" t="s">
        <v>820</v>
      </c>
      <c r="V284" s="19" t="s">
        <v>782</v>
      </c>
      <c r="W284" s="20">
        <v>1</v>
      </c>
      <c r="X284" s="39">
        <v>2008</v>
      </c>
      <c r="Y284" s="39">
        <v>2014</v>
      </c>
      <c r="Z284" s="25">
        <v>41730</v>
      </c>
      <c r="AA284" s="19">
        <v>2011</v>
      </c>
      <c r="AB284" s="25">
        <v>40179</v>
      </c>
      <c r="AC284" s="19" t="s">
        <v>783</v>
      </c>
      <c r="AD284" s="19" t="s">
        <v>800</v>
      </c>
      <c r="AE284" s="21">
        <v>0</v>
      </c>
      <c r="AF284" s="19">
        <v>5</v>
      </c>
      <c r="AG284" s="19">
        <v>1</v>
      </c>
      <c r="AH284" s="19" t="s">
        <v>785</v>
      </c>
      <c r="AI284" s="19"/>
      <c r="AJ284" s="19"/>
      <c r="AK284" s="19"/>
      <c r="AL284" s="43" t="s">
        <v>700</v>
      </c>
      <c r="AM284" s="19">
        <v>0</v>
      </c>
      <c r="AN284" s="19" t="s">
        <v>1406</v>
      </c>
      <c r="AO284" s="19" t="s">
        <v>1529</v>
      </c>
      <c r="AP284" s="19">
        <v>25093</v>
      </c>
      <c r="AQ284" s="26" t="str">
        <f>IFERROR(PropInfo[[#This Row],[Yardi]]*1,PropInfo[[#This Row],[Yardi]])</f>
        <v>lax1251</v>
      </c>
    </row>
    <row r="285" spans="1:43" x14ac:dyDescent="0.2">
      <c r="A285" s="43" t="s">
        <v>413</v>
      </c>
      <c r="B285" s="19" t="s">
        <v>414</v>
      </c>
      <c r="C285" s="37">
        <v>472</v>
      </c>
      <c r="D285" s="37">
        <v>414968</v>
      </c>
      <c r="E285" s="19" t="s" vm="233">
        <v>1368</v>
      </c>
      <c r="F285" s="19" t="s">
        <v>1409</v>
      </c>
      <c r="G285" s="19" t="s">
        <v>781</v>
      </c>
      <c r="H285" s="19" t="s">
        <v>414</v>
      </c>
      <c r="I285" s="19" t="s">
        <v>415</v>
      </c>
      <c r="J285" s="19" t="s">
        <v>39</v>
      </c>
      <c r="K285" s="19" t="s">
        <v>6</v>
      </c>
      <c r="L285" s="19">
        <v>92124</v>
      </c>
      <c r="M285" s="19">
        <v>32.838158</v>
      </c>
      <c r="N285" s="19">
        <v>-117.090563</v>
      </c>
      <c r="O285" s="19" t="s">
        <v>929</v>
      </c>
      <c r="P285" s="19" t="s">
        <v>1415</v>
      </c>
      <c r="Q285" s="19" t="s">
        <v>1052</v>
      </c>
      <c r="R285" s="19" t="s">
        <v>39</v>
      </c>
      <c r="S285" s="19" t="s">
        <v>1058</v>
      </c>
      <c r="T285" s="19" t="s">
        <v>1063</v>
      </c>
      <c r="U285" s="19" t="s">
        <v>820</v>
      </c>
      <c r="V285" s="19" t="s">
        <v>782</v>
      </c>
      <c r="W285" s="20">
        <v>1</v>
      </c>
      <c r="X285" s="39">
        <v>1990</v>
      </c>
      <c r="Y285" s="39">
        <v>2014</v>
      </c>
      <c r="Z285" s="25">
        <v>41730</v>
      </c>
      <c r="AA285" s="19">
        <v>2006</v>
      </c>
      <c r="AB285" s="25">
        <v>38626</v>
      </c>
      <c r="AC285" s="19" t="s">
        <v>783</v>
      </c>
      <c r="AD285" s="19" t="s">
        <v>784</v>
      </c>
      <c r="AE285" s="21">
        <v>0</v>
      </c>
      <c r="AF285" s="19">
        <v>2</v>
      </c>
      <c r="AG285" s="19">
        <v>49</v>
      </c>
      <c r="AH285" s="19" t="s">
        <v>785</v>
      </c>
      <c r="AI285" s="19"/>
      <c r="AJ285" s="19"/>
      <c r="AK285" s="19"/>
      <c r="AL285" s="43" t="s">
        <v>699</v>
      </c>
      <c r="AM285" s="19">
        <v>0</v>
      </c>
      <c r="AN285" s="19" t="s">
        <v>1406</v>
      </c>
      <c r="AO285" s="19" t="s">
        <v>1358</v>
      </c>
      <c r="AP285" s="19">
        <v>412</v>
      </c>
      <c r="AQ285" s="26" t="str">
        <f>IFERROR(PropInfo[[#This Row],[Yardi]]*1,PropInfo[[#This Row],[Yardi]])</f>
        <v>san1100</v>
      </c>
    </row>
    <row r="286" spans="1:43" x14ac:dyDescent="0.2">
      <c r="A286" s="43" t="s">
        <v>147</v>
      </c>
      <c r="B286" s="19" t="s">
        <v>148</v>
      </c>
      <c r="C286" s="37">
        <v>320</v>
      </c>
      <c r="D286" s="37">
        <v>317953</v>
      </c>
      <c r="E286" s="19" t="s" vm="160">
        <v>1368</v>
      </c>
      <c r="F286" s="19" t="s">
        <v>1409</v>
      </c>
      <c r="G286" s="19" t="s">
        <v>781</v>
      </c>
      <c r="H286" s="19" t="s">
        <v>148</v>
      </c>
      <c r="I286" s="19" t="s">
        <v>149</v>
      </c>
      <c r="J286" s="19" t="s">
        <v>39</v>
      </c>
      <c r="K286" s="19" t="s">
        <v>6</v>
      </c>
      <c r="L286" s="19">
        <v>92123</v>
      </c>
      <c r="M286" s="19">
        <v>32.805338499999998</v>
      </c>
      <c r="N286" s="19">
        <v>-117.1181273</v>
      </c>
      <c r="O286" s="19" t="s">
        <v>929</v>
      </c>
      <c r="P286" s="19" t="s">
        <v>1415</v>
      </c>
      <c r="Q286" s="19" t="s">
        <v>1052</v>
      </c>
      <c r="R286" s="19" t="s">
        <v>39</v>
      </c>
      <c r="S286" s="19" t="s">
        <v>1058</v>
      </c>
      <c r="T286" s="19" t="s">
        <v>1063</v>
      </c>
      <c r="U286" s="19" t="s">
        <v>820</v>
      </c>
      <c r="V286" s="19" t="s">
        <v>782</v>
      </c>
      <c r="W286" s="20">
        <v>1</v>
      </c>
      <c r="X286" s="39">
        <v>1998</v>
      </c>
      <c r="Y286" s="39">
        <v>2014</v>
      </c>
      <c r="Z286" s="25">
        <v>41730</v>
      </c>
      <c r="AA286" s="19">
        <v>2005</v>
      </c>
      <c r="AB286" s="25">
        <v>38047</v>
      </c>
      <c r="AC286" s="19" t="s">
        <v>783</v>
      </c>
      <c r="AD286" s="19" t="s">
        <v>784</v>
      </c>
      <c r="AE286" s="21">
        <v>0</v>
      </c>
      <c r="AF286" s="19">
        <v>3</v>
      </c>
      <c r="AG286" s="19">
        <v>12</v>
      </c>
      <c r="AH286" s="19" t="s">
        <v>792</v>
      </c>
      <c r="AI286" s="19"/>
      <c r="AJ286" s="19"/>
      <c r="AK286" s="19"/>
      <c r="AL286" s="43" t="s">
        <v>698</v>
      </c>
      <c r="AM286" s="19">
        <v>0</v>
      </c>
      <c r="AN286" s="19" t="s">
        <v>1406</v>
      </c>
      <c r="AO286" s="19" t="s">
        <v>1356</v>
      </c>
      <c r="AP286" s="19">
        <v>9579</v>
      </c>
      <c r="AQ286" s="26" t="str">
        <f>IFERROR(PropInfo[[#This Row],[Yardi]]*1,PropInfo[[#This Row],[Yardi]])</f>
        <v>san1134</v>
      </c>
    </row>
    <row r="287" spans="1:43" x14ac:dyDescent="0.2">
      <c r="A287" s="43" t="s">
        <v>162</v>
      </c>
      <c r="B287" s="19" t="s">
        <v>163</v>
      </c>
      <c r="C287" s="37">
        <v>348</v>
      </c>
      <c r="D287" s="37">
        <v>384456</v>
      </c>
      <c r="E287" s="19" t="s" vm="176">
        <v>1368</v>
      </c>
      <c r="F287" s="19" t="s">
        <v>1409</v>
      </c>
      <c r="G287" s="19" t="s">
        <v>781</v>
      </c>
      <c r="H287" s="19" t="s">
        <v>163</v>
      </c>
      <c r="I287" s="19" t="s">
        <v>164</v>
      </c>
      <c r="J287" s="19" t="s">
        <v>39</v>
      </c>
      <c r="K287" s="19" t="s">
        <v>6</v>
      </c>
      <c r="L287" s="19">
        <v>92130</v>
      </c>
      <c r="M287" s="19">
        <v>32.932749999999999</v>
      </c>
      <c r="N287" s="19">
        <v>-117.223624</v>
      </c>
      <c r="O287" s="19" t="s">
        <v>929</v>
      </c>
      <c r="P287" s="19" t="s">
        <v>1415</v>
      </c>
      <c r="Q287" s="19" t="s">
        <v>1052</v>
      </c>
      <c r="R287" s="19" t="s">
        <v>39</v>
      </c>
      <c r="S287" s="19" t="s">
        <v>1058</v>
      </c>
      <c r="T287" s="19" t="s">
        <v>1074</v>
      </c>
      <c r="U287" s="19" t="s">
        <v>820</v>
      </c>
      <c r="V287" s="19" t="s">
        <v>782</v>
      </c>
      <c r="W287" s="20">
        <v>1</v>
      </c>
      <c r="X287" s="39">
        <v>2000</v>
      </c>
      <c r="Y287" s="39">
        <v>2014</v>
      </c>
      <c r="Z287" s="25">
        <v>41730</v>
      </c>
      <c r="AA287" s="19">
        <v>2005</v>
      </c>
      <c r="AB287" s="25">
        <v>38231</v>
      </c>
      <c r="AC287" s="19" t="s">
        <v>783</v>
      </c>
      <c r="AD287" s="19" t="s">
        <v>784</v>
      </c>
      <c r="AE287" s="21">
        <v>0</v>
      </c>
      <c r="AF287" s="19">
        <v>3</v>
      </c>
      <c r="AG287" s="19">
        <v>16</v>
      </c>
      <c r="AH287" s="19" t="s">
        <v>792</v>
      </c>
      <c r="AI287" s="19"/>
      <c r="AJ287" s="19"/>
      <c r="AK287" s="19"/>
      <c r="AL287" s="43" t="s">
        <v>697</v>
      </c>
      <c r="AM287" s="19">
        <v>0</v>
      </c>
      <c r="AN287" s="19" t="s">
        <v>1406</v>
      </c>
      <c r="AO287" s="19" t="s">
        <v>1356</v>
      </c>
      <c r="AP287" s="19">
        <v>9560</v>
      </c>
      <c r="AQ287" s="26" t="str">
        <f>IFERROR(PropInfo[[#This Row],[Yardi]]*1,PropInfo[[#This Row],[Yardi]])</f>
        <v>san1142</v>
      </c>
    </row>
    <row r="288" spans="1:43" x14ac:dyDescent="0.2">
      <c r="A288" s="43" t="s">
        <v>165</v>
      </c>
      <c r="B288" s="19" t="s">
        <v>166</v>
      </c>
      <c r="C288" s="37">
        <v>356</v>
      </c>
      <c r="D288" s="37">
        <v>283426</v>
      </c>
      <c r="E288" s="19" t="s" vm="236">
        <v>1368</v>
      </c>
      <c r="F288" s="19" t="s">
        <v>1409</v>
      </c>
      <c r="G288" s="19" t="s">
        <v>781</v>
      </c>
      <c r="H288" s="19" t="s">
        <v>166</v>
      </c>
      <c r="I288" s="19" t="s">
        <v>167</v>
      </c>
      <c r="J288" s="19" t="s">
        <v>39</v>
      </c>
      <c r="K288" s="19" t="s">
        <v>6</v>
      </c>
      <c r="L288" s="19">
        <v>92128</v>
      </c>
      <c r="M288" s="19">
        <v>32.975098000000003</v>
      </c>
      <c r="N288" s="19">
        <v>-117.08282199999999</v>
      </c>
      <c r="O288" s="19" t="s">
        <v>929</v>
      </c>
      <c r="P288" s="19" t="s">
        <v>1415</v>
      </c>
      <c r="Q288" s="19" t="s">
        <v>1052</v>
      </c>
      <c r="R288" s="19" t="s">
        <v>39</v>
      </c>
      <c r="S288" s="19" t="s">
        <v>1058</v>
      </c>
      <c r="T288" s="19" t="s">
        <v>1059</v>
      </c>
      <c r="U288" s="19" t="s">
        <v>820</v>
      </c>
      <c r="V288" s="19" t="s">
        <v>782</v>
      </c>
      <c r="W288" s="20">
        <v>1</v>
      </c>
      <c r="X288" s="39">
        <v>1989</v>
      </c>
      <c r="Y288" s="39">
        <v>2014</v>
      </c>
      <c r="Z288" s="25">
        <v>41730</v>
      </c>
      <c r="AA288" s="19">
        <v>2006</v>
      </c>
      <c r="AB288" s="25">
        <v>38353</v>
      </c>
      <c r="AC288" s="19" t="s">
        <v>783</v>
      </c>
      <c r="AD288" s="19" t="s">
        <v>784</v>
      </c>
      <c r="AE288" s="21">
        <v>0</v>
      </c>
      <c r="AF288" s="19">
        <v>3</v>
      </c>
      <c r="AG288" s="19">
        <v>15</v>
      </c>
      <c r="AH288" s="19" t="s">
        <v>785</v>
      </c>
      <c r="AI288" s="19"/>
      <c r="AJ288" s="19"/>
      <c r="AK288" s="19"/>
      <c r="AL288" s="43" t="s">
        <v>696</v>
      </c>
      <c r="AM288" s="19">
        <v>0</v>
      </c>
      <c r="AN288" s="19" t="s">
        <v>1406</v>
      </c>
      <c r="AO288" s="19" t="s">
        <v>1358</v>
      </c>
      <c r="AP288" s="19">
        <v>9770</v>
      </c>
      <c r="AQ288" s="26" t="str">
        <f>IFERROR(PropInfo[[#This Row],[Yardi]]*1,PropInfo[[#This Row],[Yardi]])</f>
        <v>san1190</v>
      </c>
    </row>
    <row r="289" spans="1:43" x14ac:dyDescent="0.2">
      <c r="A289" s="43" t="s">
        <v>475</v>
      </c>
      <c r="B289" s="19" t="s">
        <v>1055</v>
      </c>
      <c r="C289" s="37">
        <v>364</v>
      </c>
      <c r="D289" s="37">
        <v>384442</v>
      </c>
      <c r="E289" s="19" t="s" vm="125">
        <v>1368</v>
      </c>
      <c r="F289" s="19" t="s">
        <v>1409</v>
      </c>
      <c r="G289" s="19" t="s">
        <v>781</v>
      </c>
      <c r="H289" s="19" t="s">
        <v>1055</v>
      </c>
      <c r="I289" s="19" t="s">
        <v>476</v>
      </c>
      <c r="J289" s="19" t="s">
        <v>477</v>
      </c>
      <c r="K289" s="19" t="s">
        <v>6</v>
      </c>
      <c r="L289" s="19">
        <v>91913</v>
      </c>
      <c r="M289" s="19">
        <v>32.622115000000001</v>
      </c>
      <c r="N289" s="19">
        <v>-116.999402</v>
      </c>
      <c r="O289" s="19" t="s">
        <v>929</v>
      </c>
      <c r="P289" s="19" t="s">
        <v>1415</v>
      </c>
      <c r="Q289" s="19" t="s">
        <v>1052</v>
      </c>
      <c r="R289" s="19" t="s">
        <v>39</v>
      </c>
      <c r="S289" s="19" t="s">
        <v>477</v>
      </c>
      <c r="T289" s="19" t="s">
        <v>1054</v>
      </c>
      <c r="U289" s="19" t="s">
        <v>820</v>
      </c>
      <c r="V289" s="19" t="s">
        <v>782</v>
      </c>
      <c r="W289" s="20">
        <v>1</v>
      </c>
      <c r="X289" s="39">
        <v>2001</v>
      </c>
      <c r="Y289" s="39">
        <v>2014</v>
      </c>
      <c r="Z289" s="25">
        <v>41730</v>
      </c>
      <c r="AA289" s="19">
        <v>2005</v>
      </c>
      <c r="AB289" s="25">
        <v>37987</v>
      </c>
      <c r="AC289" s="19" t="s">
        <v>783</v>
      </c>
      <c r="AD289" s="19" t="s">
        <v>784</v>
      </c>
      <c r="AE289" s="21">
        <v>0</v>
      </c>
      <c r="AF289" s="19">
        <v>3</v>
      </c>
      <c r="AG289" s="19">
        <v>26</v>
      </c>
      <c r="AH289" s="19" t="s">
        <v>785</v>
      </c>
      <c r="AI289" s="19"/>
      <c r="AJ289" s="19"/>
      <c r="AK289" s="19"/>
      <c r="AL289" s="43" t="s">
        <v>695</v>
      </c>
      <c r="AM289" s="19">
        <v>0</v>
      </c>
      <c r="AN289" s="19" t="s">
        <v>1406</v>
      </c>
      <c r="AO289" s="19" t="s">
        <v>1356</v>
      </c>
      <c r="AP289" s="19">
        <v>13277</v>
      </c>
      <c r="AQ289" s="26" t="str">
        <f>IFERROR(PropInfo[[#This Row],[Yardi]]*1,PropInfo[[#This Row],[Yardi]])</f>
        <v>san1193</v>
      </c>
    </row>
    <row r="290" spans="1:43" hidden="1" x14ac:dyDescent="0.2">
      <c r="A290" s="43" t="s">
        <v>1205</v>
      </c>
      <c r="B290" s="19" t="s">
        <v>1206</v>
      </c>
      <c r="C290" s="37">
        <v>6</v>
      </c>
      <c r="D290" s="37">
        <v>10933</v>
      </c>
      <c r="E290" s="19" t="s">
        <v>762</v>
      </c>
      <c r="F290" s="19" t="s">
        <v>1409</v>
      </c>
      <c r="G290" s="19" t="s">
        <v>835</v>
      </c>
      <c r="H290" s="19" t="s">
        <v>557</v>
      </c>
      <c r="I290" s="19" t="s">
        <v>558</v>
      </c>
      <c r="J290" s="19" t="s">
        <v>26</v>
      </c>
      <c r="K290" s="19" t="s">
        <v>27</v>
      </c>
      <c r="L290" s="19">
        <v>98109</v>
      </c>
      <c r="M290" s="19">
        <v>47.619407000000002</v>
      </c>
      <c r="N290" s="19">
        <v>-122.34614999999999</v>
      </c>
      <c r="O290" s="19" t="s">
        <v>1090</v>
      </c>
      <c r="P290" s="19" t="s">
        <v>1412</v>
      </c>
      <c r="Q290" s="19" t="s">
        <v>1091</v>
      </c>
      <c r="R290" s="19" t="s">
        <v>1092</v>
      </c>
      <c r="S290" s="19" t="s">
        <v>1134</v>
      </c>
      <c r="T290" s="19" t="s">
        <v>1138</v>
      </c>
      <c r="U290" s="19" t="s">
        <v>820</v>
      </c>
      <c r="V290" s="19" t="s">
        <v>782</v>
      </c>
      <c r="W290" s="20">
        <v>1</v>
      </c>
      <c r="X290" s="39">
        <v>2008</v>
      </c>
      <c r="Y290" s="39">
        <v>2014</v>
      </c>
      <c r="Z290" s="25">
        <v>41730</v>
      </c>
      <c r="AA290" s="19">
        <v>2011</v>
      </c>
      <c r="AB290" s="25">
        <v>40330</v>
      </c>
      <c r="AC290" s="19" t="s">
        <v>804</v>
      </c>
      <c r="AD290" s="19" t="s">
        <v>800</v>
      </c>
      <c r="AE290" s="21">
        <v>0</v>
      </c>
      <c r="AF290" s="19">
        <v>6</v>
      </c>
      <c r="AG290" s="19">
        <v>1</v>
      </c>
      <c r="AH290" s="19" t="s">
        <v>792</v>
      </c>
      <c r="AI290" s="19"/>
      <c r="AJ290" s="19"/>
      <c r="AK290" s="19"/>
      <c r="AL290" s="43" t="e">
        <v>#N/A</v>
      </c>
      <c r="AM290" s="19" t="e">
        <v>#N/A</v>
      </c>
      <c r="AN290" s="19" t="e">
        <v>#N/A</v>
      </c>
      <c r="AO290" s="19" t="s">
        <v>1565</v>
      </c>
      <c r="AP290" s="19">
        <v>0</v>
      </c>
      <c r="AQ290" s="26" t="str">
        <f>IFERROR(PropInfo[[#This Row],[Yardi]]*1,PropInfo[[#This Row],[Yardi]])</f>
        <v>pnw2247</v>
      </c>
    </row>
    <row r="291" spans="1:43" x14ac:dyDescent="0.2">
      <c r="A291" s="43" t="s">
        <v>108</v>
      </c>
      <c r="B291" s="19" t="s">
        <v>109</v>
      </c>
      <c r="C291" s="37">
        <v>216</v>
      </c>
      <c r="D291" s="37">
        <v>205548</v>
      </c>
      <c r="E291" s="19" t="s" vm="161">
        <v>1368</v>
      </c>
      <c r="F291" s="19" t="s">
        <v>1409</v>
      </c>
      <c r="G291" s="19" t="s">
        <v>781</v>
      </c>
      <c r="H291" s="19" t="s">
        <v>109</v>
      </c>
      <c r="I291" s="19" t="s">
        <v>110</v>
      </c>
      <c r="J291" s="19" t="s">
        <v>39</v>
      </c>
      <c r="K291" s="19" t="s">
        <v>6</v>
      </c>
      <c r="L291" s="19">
        <v>92128</v>
      </c>
      <c r="M291" s="19">
        <v>33.013426699999997</v>
      </c>
      <c r="N291" s="19">
        <v>-117.07531659999999</v>
      </c>
      <c r="O291" s="19" t="s">
        <v>929</v>
      </c>
      <c r="P291" s="19" t="s">
        <v>1415</v>
      </c>
      <c r="Q291" s="19" t="s">
        <v>1052</v>
      </c>
      <c r="R291" s="19" t="s">
        <v>39</v>
      </c>
      <c r="S291" s="19" t="s">
        <v>1058</v>
      </c>
      <c r="T291" s="19" t="s">
        <v>1059</v>
      </c>
      <c r="U291" s="19" t="s">
        <v>820</v>
      </c>
      <c r="V291" s="19" t="s">
        <v>782</v>
      </c>
      <c r="W291" s="20">
        <v>1</v>
      </c>
      <c r="X291" s="39">
        <v>1988</v>
      </c>
      <c r="Y291" s="39">
        <v>2014</v>
      </c>
      <c r="Z291" s="25">
        <v>41730</v>
      </c>
      <c r="AA291" s="19">
        <v>2005</v>
      </c>
      <c r="AB291" s="25">
        <v>38292</v>
      </c>
      <c r="AC291" s="19" t="s">
        <v>783</v>
      </c>
      <c r="AD291" s="19" t="s">
        <v>784</v>
      </c>
      <c r="AE291" s="21">
        <v>0</v>
      </c>
      <c r="AF291" s="19">
        <v>2</v>
      </c>
      <c r="AG291" s="19">
        <v>33</v>
      </c>
      <c r="AH291" s="19" t="s">
        <v>785</v>
      </c>
      <c r="AI291" s="19"/>
      <c r="AJ291" s="19"/>
      <c r="AK291" s="19"/>
      <c r="AL291" s="43" t="s">
        <v>694</v>
      </c>
      <c r="AM291" s="19">
        <v>0</v>
      </c>
      <c r="AN291" s="19" t="s">
        <v>1406</v>
      </c>
      <c r="AO291" s="19" t="s">
        <v>1358</v>
      </c>
      <c r="AP291" s="19">
        <v>7315</v>
      </c>
      <c r="AQ291" s="26" t="str">
        <f>IFERROR(PropInfo[[#This Row],[Yardi]]*1,PropInfo[[#This Row],[Yardi]])</f>
        <v>san1231</v>
      </c>
    </row>
    <row r="292" spans="1:43" x14ac:dyDescent="0.2">
      <c r="A292" s="43" t="s">
        <v>168</v>
      </c>
      <c r="B292" s="19" t="s">
        <v>169</v>
      </c>
      <c r="C292" s="37">
        <v>246</v>
      </c>
      <c r="D292" s="37">
        <v>225880</v>
      </c>
      <c r="E292" s="19" t="s" vm="178">
        <v>1368</v>
      </c>
      <c r="F292" s="19" t="s">
        <v>1409</v>
      </c>
      <c r="G292" s="19" t="s">
        <v>781</v>
      </c>
      <c r="H292" s="19" t="s">
        <v>169</v>
      </c>
      <c r="I292" s="19" t="s">
        <v>170</v>
      </c>
      <c r="J292" s="19" t="s">
        <v>39</v>
      </c>
      <c r="K292" s="19" t="s">
        <v>6</v>
      </c>
      <c r="L292" s="19">
        <v>92128</v>
      </c>
      <c r="M292" s="19">
        <v>32.979063699999998</v>
      </c>
      <c r="N292" s="19">
        <v>-117.07678009999999</v>
      </c>
      <c r="O292" s="19" t="s">
        <v>929</v>
      </c>
      <c r="P292" s="19" t="s">
        <v>1415</v>
      </c>
      <c r="Q292" s="19" t="s">
        <v>1052</v>
      </c>
      <c r="R292" s="19" t="s">
        <v>39</v>
      </c>
      <c r="S292" s="19" t="s">
        <v>1058</v>
      </c>
      <c r="T292" s="19" t="s">
        <v>1059</v>
      </c>
      <c r="U292" s="19" t="s">
        <v>820</v>
      </c>
      <c r="V292" s="19" t="s">
        <v>782</v>
      </c>
      <c r="W292" s="20">
        <v>1</v>
      </c>
      <c r="X292" s="39">
        <v>1989</v>
      </c>
      <c r="Y292" s="39">
        <v>2014</v>
      </c>
      <c r="Z292" s="25">
        <v>41730</v>
      </c>
      <c r="AA292" s="19">
        <v>2010</v>
      </c>
      <c r="AB292" s="25">
        <v>40087</v>
      </c>
      <c r="AC292" s="19" t="s">
        <v>783</v>
      </c>
      <c r="AD292" s="19" t="s">
        <v>784</v>
      </c>
      <c r="AE292" s="21">
        <v>0</v>
      </c>
      <c r="AF292" s="19">
        <v>2</v>
      </c>
      <c r="AG292" s="19">
        <v>30</v>
      </c>
      <c r="AH292" s="19" t="s">
        <v>809</v>
      </c>
      <c r="AI292" s="19"/>
      <c r="AJ292" s="19"/>
      <c r="AK292" s="19"/>
      <c r="AL292" s="43" t="s">
        <v>693</v>
      </c>
      <c r="AM292" s="19">
        <v>0</v>
      </c>
      <c r="AN292" s="19" t="s">
        <v>1406</v>
      </c>
      <c r="AO292" s="19" t="s">
        <v>1358</v>
      </c>
      <c r="AP292" s="19">
        <v>10171</v>
      </c>
      <c r="AQ292" s="26" t="str">
        <f>IFERROR(PropInfo[[#This Row],[Yardi]]*1,PropInfo[[#This Row],[Yardi]])</f>
        <v>san1258</v>
      </c>
    </row>
    <row r="293" spans="1:43" x14ac:dyDescent="0.2">
      <c r="A293" s="43" t="s">
        <v>37</v>
      </c>
      <c r="B293" s="19" t="s">
        <v>38</v>
      </c>
      <c r="C293" s="37">
        <v>194</v>
      </c>
      <c r="D293" s="37">
        <v>207052</v>
      </c>
      <c r="E293" s="19" t="s" vm="235">
        <v>1368</v>
      </c>
      <c r="F293" s="19" t="s">
        <v>1409</v>
      </c>
      <c r="G293" s="19" t="s">
        <v>781</v>
      </c>
      <c r="H293" s="19" t="s">
        <v>38</v>
      </c>
      <c r="I293" s="19" t="s">
        <v>1057</v>
      </c>
      <c r="J293" s="19" t="s">
        <v>39</v>
      </c>
      <c r="K293" s="19" t="s">
        <v>6</v>
      </c>
      <c r="L293" s="19">
        <v>92131</v>
      </c>
      <c r="M293" s="19">
        <v>32.915480700000003</v>
      </c>
      <c r="N293" s="19">
        <v>-117.1110031</v>
      </c>
      <c r="O293" s="19" t="s">
        <v>929</v>
      </c>
      <c r="P293" s="19" t="s">
        <v>1415</v>
      </c>
      <c r="Q293" s="19" t="s">
        <v>1052</v>
      </c>
      <c r="R293" s="19" t="s">
        <v>39</v>
      </c>
      <c r="S293" s="19" t="s">
        <v>1058</v>
      </c>
      <c r="T293" s="19" t="s">
        <v>1059</v>
      </c>
      <c r="U293" s="19" t="s">
        <v>820</v>
      </c>
      <c r="V293" s="19" t="s">
        <v>782</v>
      </c>
      <c r="W293" s="20">
        <v>1</v>
      </c>
      <c r="X293" s="39">
        <v>2002</v>
      </c>
      <c r="Y293" s="39">
        <v>2014</v>
      </c>
      <c r="Z293" s="25">
        <v>41730</v>
      </c>
      <c r="AA293" s="19">
        <v>2011</v>
      </c>
      <c r="AB293" s="25">
        <v>40391</v>
      </c>
      <c r="AC293" s="19" t="s">
        <v>783</v>
      </c>
      <c r="AD293" s="19" t="s">
        <v>784</v>
      </c>
      <c r="AE293" s="21">
        <v>194</v>
      </c>
      <c r="AF293" s="19">
        <v>3</v>
      </c>
      <c r="AG293" s="19">
        <v>12</v>
      </c>
      <c r="AH293" s="19" t="s">
        <v>792</v>
      </c>
      <c r="AI293" s="19"/>
      <c r="AJ293" s="19"/>
      <c r="AK293" s="19"/>
      <c r="AL293" s="43" t="s">
        <v>692</v>
      </c>
      <c r="AM293" s="19">
        <v>0</v>
      </c>
      <c r="AN293" s="19" t="s">
        <v>1406</v>
      </c>
      <c r="AO293" s="19" t="s">
        <v>1356</v>
      </c>
      <c r="AP293" s="19">
        <v>14157</v>
      </c>
      <c r="AQ293" s="26" t="str">
        <f>IFERROR(PropInfo[[#This Row],[Yardi]]*1,PropInfo[[#This Row],[Yardi]])</f>
        <v>san1271</v>
      </c>
    </row>
    <row r="294" spans="1:43" x14ac:dyDescent="0.2">
      <c r="A294" s="43" t="s">
        <v>291</v>
      </c>
      <c r="B294" s="19" t="s">
        <v>292</v>
      </c>
      <c r="C294" s="37">
        <v>490</v>
      </c>
      <c r="D294" s="37">
        <v>415380</v>
      </c>
      <c r="E294" s="19" t="s" vm="162">
        <v>1368</v>
      </c>
      <c r="F294" s="19" t="s">
        <v>1409</v>
      </c>
      <c r="G294" s="19" t="s">
        <v>781</v>
      </c>
      <c r="H294" s="19" t="s">
        <v>292</v>
      </c>
      <c r="I294" s="19" t="s">
        <v>293</v>
      </c>
      <c r="J294" s="19" t="s">
        <v>294</v>
      </c>
      <c r="K294" s="19" t="s">
        <v>6</v>
      </c>
      <c r="L294" s="19">
        <v>94404</v>
      </c>
      <c r="M294" s="19">
        <v>37.555844</v>
      </c>
      <c r="N294" s="19">
        <v>-122.263847</v>
      </c>
      <c r="O294" s="19" t="s">
        <v>786</v>
      </c>
      <c r="P294" s="19" t="s">
        <v>1414</v>
      </c>
      <c r="Q294" s="19" t="s">
        <v>893</v>
      </c>
      <c r="R294" s="19" t="s">
        <v>345</v>
      </c>
      <c r="S294" s="19" t="s">
        <v>345</v>
      </c>
      <c r="T294" s="19" t="s">
        <v>895</v>
      </c>
      <c r="U294" s="19" t="s">
        <v>820</v>
      </c>
      <c r="V294" s="19" t="s">
        <v>782</v>
      </c>
      <c r="W294" s="20">
        <v>1</v>
      </c>
      <c r="X294" s="39">
        <v>1987</v>
      </c>
      <c r="Y294" s="39">
        <v>2014</v>
      </c>
      <c r="Z294" s="25">
        <v>41730</v>
      </c>
      <c r="AA294" s="19">
        <v>2007</v>
      </c>
      <c r="AB294" s="25">
        <v>38899</v>
      </c>
      <c r="AC294" s="19" t="s">
        <v>783</v>
      </c>
      <c r="AD294" s="19" t="s">
        <v>784</v>
      </c>
      <c r="AE294" s="21">
        <v>0</v>
      </c>
      <c r="AF294" s="19">
        <v>3</v>
      </c>
      <c r="AG294" s="19">
        <v>36</v>
      </c>
      <c r="AH294" s="19" t="s">
        <v>792</v>
      </c>
      <c r="AI294" s="19" t="s">
        <v>1387</v>
      </c>
      <c r="AJ294" s="19">
        <v>74</v>
      </c>
      <c r="AK294" s="19">
        <v>2020</v>
      </c>
      <c r="AL294" s="43" t="s">
        <v>757</v>
      </c>
      <c r="AM294" s="19">
        <v>0</v>
      </c>
      <c r="AN294" s="19" t="s">
        <v>1406</v>
      </c>
      <c r="AO294" s="19" t="s">
        <v>1366</v>
      </c>
      <c r="AP294" s="19">
        <v>404</v>
      </c>
      <c r="AQ294" s="26" t="str">
        <f>IFERROR(PropInfo[[#This Row],[Yardi]]*1,PropInfo[[#This Row],[Yardi]])</f>
        <v>sfo1130</v>
      </c>
    </row>
    <row r="295" spans="1:43" x14ac:dyDescent="0.2">
      <c r="A295" s="43" t="s">
        <v>219</v>
      </c>
      <c r="B295" s="19" t="s">
        <v>220</v>
      </c>
      <c r="C295" s="37">
        <v>400</v>
      </c>
      <c r="D295" s="37">
        <v>337064</v>
      </c>
      <c r="E295" s="19" t="s" vm="177">
        <v>1368</v>
      </c>
      <c r="F295" s="19" t="s">
        <v>1409</v>
      </c>
      <c r="G295" s="19" t="s">
        <v>781</v>
      </c>
      <c r="H295" s="19" t="s">
        <v>220</v>
      </c>
      <c r="I295" s="19" t="s">
        <v>221</v>
      </c>
      <c r="J295" s="19" t="s">
        <v>87</v>
      </c>
      <c r="K295" s="19" t="s">
        <v>6</v>
      </c>
      <c r="L295" s="19">
        <v>94583</v>
      </c>
      <c r="M295" s="19">
        <v>37.777031000000001</v>
      </c>
      <c r="N295" s="19">
        <v>-121.986437</v>
      </c>
      <c r="O295" s="19" t="s">
        <v>786</v>
      </c>
      <c r="P295" s="19" t="s">
        <v>1414</v>
      </c>
      <c r="Q295" s="19" t="s">
        <v>853</v>
      </c>
      <c r="R295" s="19" t="s">
        <v>881</v>
      </c>
      <c r="S295" s="19" t="s">
        <v>87</v>
      </c>
      <c r="T295" s="19" t="s">
        <v>858</v>
      </c>
      <c r="U295" s="19" t="s">
        <v>820</v>
      </c>
      <c r="V295" s="19" t="s">
        <v>782</v>
      </c>
      <c r="W295" s="20">
        <v>1</v>
      </c>
      <c r="X295" s="39">
        <v>1992</v>
      </c>
      <c r="Y295" s="39">
        <v>2014</v>
      </c>
      <c r="Z295" s="25">
        <v>41730</v>
      </c>
      <c r="AA295" s="19">
        <v>2006</v>
      </c>
      <c r="AB295" s="25">
        <v>38626</v>
      </c>
      <c r="AC295" s="19" t="s">
        <v>783</v>
      </c>
      <c r="AD295" s="19" t="s">
        <v>784</v>
      </c>
      <c r="AE295" s="21">
        <v>0</v>
      </c>
      <c r="AF295" s="19">
        <v>3</v>
      </c>
      <c r="AG295" s="19">
        <v>16</v>
      </c>
      <c r="AH295" s="19" t="s">
        <v>792</v>
      </c>
      <c r="AI295" s="19"/>
      <c r="AJ295" s="19"/>
      <c r="AK295" s="19"/>
      <c r="AL295" s="43" t="s">
        <v>756</v>
      </c>
      <c r="AM295" s="19">
        <v>0</v>
      </c>
      <c r="AN295" s="19" t="s">
        <v>1406</v>
      </c>
      <c r="AO295" s="19" t="s">
        <v>1362</v>
      </c>
      <c r="AP295" s="19">
        <v>441</v>
      </c>
      <c r="AQ295" s="26" t="str">
        <f>IFERROR(PropInfo[[#This Row],[Yardi]]*1,PropInfo[[#This Row],[Yardi]])</f>
        <v>sfo1131</v>
      </c>
    </row>
    <row r="296" spans="1:43" x14ac:dyDescent="0.2">
      <c r="A296" s="43" t="s">
        <v>407</v>
      </c>
      <c r="B296" s="19" t="s">
        <v>408</v>
      </c>
      <c r="C296" s="37">
        <v>453</v>
      </c>
      <c r="D296" s="37">
        <v>403987</v>
      </c>
      <c r="E296" s="19" t="s" vm="237">
        <v>1368</v>
      </c>
      <c r="F296" s="19" t="s">
        <v>1409</v>
      </c>
      <c r="G296" s="19" t="s">
        <v>781</v>
      </c>
      <c r="H296" s="19" t="s">
        <v>408</v>
      </c>
      <c r="I296" s="19" t="s">
        <v>409</v>
      </c>
      <c r="J296" s="19" t="s">
        <v>119</v>
      </c>
      <c r="K296" s="19" t="s">
        <v>6</v>
      </c>
      <c r="L296" s="19">
        <v>94538</v>
      </c>
      <c r="M296" s="19">
        <v>37.554920699999997</v>
      </c>
      <c r="N296" s="19">
        <v>-121.9669962</v>
      </c>
      <c r="O296" s="19" t="s">
        <v>786</v>
      </c>
      <c r="P296" s="19" t="s">
        <v>1414</v>
      </c>
      <c r="Q296" s="19" t="s">
        <v>853</v>
      </c>
      <c r="R296" s="19" t="s">
        <v>854</v>
      </c>
      <c r="S296" s="19" t="s">
        <v>119</v>
      </c>
      <c r="T296" s="19" t="s">
        <v>119</v>
      </c>
      <c r="U296" s="19" t="s">
        <v>820</v>
      </c>
      <c r="V296" s="19" t="s">
        <v>782</v>
      </c>
      <c r="W296" s="20">
        <v>1</v>
      </c>
      <c r="X296" s="39">
        <v>1995</v>
      </c>
      <c r="Y296" s="39">
        <v>2014</v>
      </c>
      <c r="Z296" s="25">
        <v>41730</v>
      </c>
      <c r="AA296" s="19">
        <v>2011</v>
      </c>
      <c r="AB296" s="25">
        <v>40269</v>
      </c>
      <c r="AC296" s="19" t="s">
        <v>783</v>
      </c>
      <c r="AD296" s="19" t="s">
        <v>784</v>
      </c>
      <c r="AE296" s="21">
        <v>0</v>
      </c>
      <c r="AF296" s="19">
        <v>3</v>
      </c>
      <c r="AG296" s="19">
        <v>15</v>
      </c>
      <c r="AH296" s="19" t="s">
        <v>785</v>
      </c>
      <c r="AI296" s="19"/>
      <c r="AJ296" s="19"/>
      <c r="AK296" s="19"/>
      <c r="AL296" s="43" t="s">
        <v>755</v>
      </c>
      <c r="AM296" s="19">
        <v>22</v>
      </c>
      <c r="AN296" s="19" t="s">
        <v>1403</v>
      </c>
      <c r="AO296" s="19" t="s">
        <v>1568</v>
      </c>
      <c r="AP296" s="19">
        <v>443</v>
      </c>
      <c r="AQ296" s="26" t="str">
        <f>IFERROR(PropInfo[[#This Row],[Yardi]]*1,PropInfo[[#This Row],[Yardi]])</f>
        <v>sfo1132</v>
      </c>
    </row>
    <row r="297" spans="1:43" x14ac:dyDescent="0.2">
      <c r="A297" s="43" t="s">
        <v>364</v>
      </c>
      <c r="B297" s="19" t="s">
        <v>1435</v>
      </c>
      <c r="C297" s="37">
        <v>308</v>
      </c>
      <c r="D297" s="37">
        <v>223972</v>
      </c>
      <c r="E297" s="19" t="s" vm="127">
        <v>1368</v>
      </c>
      <c r="F297" s="19" t="s">
        <v>1409</v>
      </c>
      <c r="G297" s="19" t="s">
        <v>781</v>
      </c>
      <c r="H297" s="19" t="s">
        <v>1435</v>
      </c>
      <c r="I297" s="19" t="s">
        <v>365</v>
      </c>
      <c r="J297" s="19" t="s">
        <v>345</v>
      </c>
      <c r="K297" s="19" t="s">
        <v>6</v>
      </c>
      <c r="L297" s="19">
        <v>94403</v>
      </c>
      <c r="M297" s="19">
        <v>37.548527999999997</v>
      </c>
      <c r="N297" s="19">
        <v>-122.285836</v>
      </c>
      <c r="O297" s="19" t="s">
        <v>786</v>
      </c>
      <c r="P297" s="19" t="s">
        <v>1414</v>
      </c>
      <c r="Q297" s="19" t="s">
        <v>893</v>
      </c>
      <c r="R297" s="19" t="s">
        <v>345</v>
      </c>
      <c r="S297" s="19" t="s">
        <v>345</v>
      </c>
      <c r="T297" s="19" t="s">
        <v>895</v>
      </c>
      <c r="U297" s="19" t="s">
        <v>820</v>
      </c>
      <c r="V297" s="19" t="s">
        <v>782</v>
      </c>
      <c r="W297" s="20">
        <v>1</v>
      </c>
      <c r="X297" s="39">
        <v>1988</v>
      </c>
      <c r="Y297" s="39">
        <v>2014</v>
      </c>
      <c r="Z297" s="25">
        <v>41730</v>
      </c>
      <c r="AA297" s="19">
        <v>2005</v>
      </c>
      <c r="AB297" s="25">
        <v>38292</v>
      </c>
      <c r="AC297" s="19" t="s">
        <v>783</v>
      </c>
      <c r="AD297" s="19" t="s">
        <v>784</v>
      </c>
      <c r="AE297" s="21">
        <v>308</v>
      </c>
      <c r="AF297" s="19">
        <v>3</v>
      </c>
      <c r="AG297" s="19">
        <v>12</v>
      </c>
      <c r="AH297" s="19" t="s">
        <v>809</v>
      </c>
      <c r="AI297" s="19"/>
      <c r="AJ297" s="19"/>
      <c r="AK297" s="19"/>
      <c r="AL297" s="43" t="s">
        <v>754</v>
      </c>
      <c r="AM297" s="19">
        <v>0</v>
      </c>
      <c r="AN297" s="19" t="s">
        <v>1406</v>
      </c>
      <c r="AO297" s="19" t="s">
        <v>1366</v>
      </c>
      <c r="AP297" s="19">
        <v>409</v>
      </c>
      <c r="AQ297" s="26" t="str">
        <f>IFERROR(PropInfo[[#This Row],[Yardi]]*1,PropInfo[[#This Row],[Yardi]])</f>
        <v>sfo1138</v>
      </c>
    </row>
    <row r="298" spans="1:43" hidden="1" x14ac:dyDescent="0.2">
      <c r="A298" s="46" t="s">
        <v>1591</v>
      </c>
      <c r="B298" s="30" t="s">
        <v>1592</v>
      </c>
      <c r="C298" s="30">
        <v>1</v>
      </c>
      <c r="D298" s="38"/>
      <c r="E298" s="31" t="s">
        <v>806</v>
      </c>
      <c r="F298" s="31" t="s">
        <v>1409</v>
      </c>
      <c r="G298" s="30" t="s">
        <v>835</v>
      </c>
      <c r="H298" s="19" t="s">
        <v>1570</v>
      </c>
      <c r="I298" s="32" t="s">
        <v>1573</v>
      </c>
      <c r="J298" s="32" t="s">
        <v>26</v>
      </c>
      <c r="K298" s="32" t="s">
        <v>27</v>
      </c>
      <c r="L298" s="32"/>
      <c r="M298" s="32"/>
      <c r="N298" s="32"/>
      <c r="O298" s="30" t="s">
        <v>1090</v>
      </c>
      <c r="P298" s="31" t="s">
        <v>1412</v>
      </c>
      <c r="Q298" s="30"/>
      <c r="R298" s="30" t="s">
        <v>1092</v>
      </c>
      <c r="S298" s="30"/>
      <c r="T298" s="30"/>
      <c r="U298" s="30" t="s">
        <v>790</v>
      </c>
      <c r="V298" s="30"/>
      <c r="W298" s="33">
        <v>1</v>
      </c>
      <c r="X298" s="31" t="s">
        <v>1571</v>
      </c>
      <c r="Y298" s="31">
        <v>2019</v>
      </c>
      <c r="Z298" s="34">
        <v>43781</v>
      </c>
      <c r="AA298" s="31"/>
      <c r="AB298" s="34"/>
      <c r="AC298" s="30" t="s">
        <v>804</v>
      </c>
      <c r="AD298" s="30" t="s">
        <v>800</v>
      </c>
      <c r="AE298" s="35"/>
      <c r="AF298" s="30"/>
      <c r="AG298" s="30"/>
      <c r="AH298" s="30"/>
      <c r="AI298" s="30"/>
      <c r="AJ298" s="30"/>
      <c r="AK298" s="30"/>
      <c r="AL298" s="44"/>
      <c r="AM298" s="31"/>
      <c r="AN298" s="31"/>
      <c r="AO298" s="31"/>
      <c r="AP298" s="31"/>
      <c r="AQ298" s="26">
        <f>IFERROR(PropInfo[[#This Row],[Yardi]]*1,PropInfo[[#This Row],[Yardi]])</f>
        <v>425</v>
      </c>
    </row>
    <row r="299" spans="1:43" x14ac:dyDescent="0.2">
      <c r="A299" s="43" t="s">
        <v>410</v>
      </c>
      <c r="B299" s="19" t="s">
        <v>411</v>
      </c>
      <c r="C299" s="37">
        <v>336</v>
      </c>
      <c r="D299" s="37">
        <v>294720</v>
      </c>
      <c r="E299" s="19" t="s" vm="180">
        <v>1368</v>
      </c>
      <c r="F299" s="19" t="s">
        <v>1409</v>
      </c>
      <c r="G299" s="19" t="s">
        <v>781</v>
      </c>
      <c r="H299" s="19" t="s">
        <v>411</v>
      </c>
      <c r="I299" s="19" t="s">
        <v>412</v>
      </c>
      <c r="J299" s="19" t="s">
        <v>119</v>
      </c>
      <c r="K299" s="19" t="s">
        <v>6</v>
      </c>
      <c r="L299" s="19">
        <v>94538</v>
      </c>
      <c r="M299" s="19">
        <v>37.556598999999999</v>
      </c>
      <c r="N299" s="19">
        <v>-121.965028</v>
      </c>
      <c r="O299" s="19" t="s">
        <v>786</v>
      </c>
      <c r="P299" s="19" t="s">
        <v>1414</v>
      </c>
      <c r="Q299" s="19" t="s">
        <v>853</v>
      </c>
      <c r="R299" s="19" t="s">
        <v>854</v>
      </c>
      <c r="S299" s="19" t="s">
        <v>119</v>
      </c>
      <c r="T299" s="19" t="s">
        <v>119</v>
      </c>
      <c r="U299" s="19" t="s">
        <v>820</v>
      </c>
      <c r="V299" s="19" t="s">
        <v>782</v>
      </c>
      <c r="W299" s="20">
        <v>1</v>
      </c>
      <c r="X299" s="39">
        <v>1989</v>
      </c>
      <c r="Y299" s="39">
        <v>2014</v>
      </c>
      <c r="Z299" s="25">
        <v>41730</v>
      </c>
      <c r="AA299" s="19">
        <v>2006</v>
      </c>
      <c r="AB299" s="25">
        <v>38657</v>
      </c>
      <c r="AC299" s="19" t="s">
        <v>783</v>
      </c>
      <c r="AD299" s="19" t="s">
        <v>784</v>
      </c>
      <c r="AE299" s="21">
        <v>0</v>
      </c>
      <c r="AF299" s="19">
        <v>3</v>
      </c>
      <c r="AG299" s="19">
        <v>15</v>
      </c>
      <c r="AH299" s="19" t="s">
        <v>785</v>
      </c>
      <c r="AI299" s="19"/>
      <c r="AJ299" s="19"/>
      <c r="AK299" s="19"/>
      <c r="AL299" s="43" t="s">
        <v>753</v>
      </c>
      <c r="AM299" s="19">
        <v>22</v>
      </c>
      <c r="AN299" s="19" t="s">
        <v>1403</v>
      </c>
      <c r="AO299" s="19" t="s">
        <v>1568</v>
      </c>
      <c r="AP299" s="19">
        <v>10692</v>
      </c>
      <c r="AQ299" s="26" t="str">
        <f>IFERROR(PropInfo[[#This Row],[Yardi]]*1,PropInfo[[#This Row],[Yardi]])</f>
        <v>sfo1205</v>
      </c>
    </row>
    <row r="300" spans="1:43" x14ac:dyDescent="0.2">
      <c r="A300" s="43" t="s">
        <v>66</v>
      </c>
      <c r="B300" s="19" t="s">
        <v>67</v>
      </c>
      <c r="C300" s="37">
        <v>224</v>
      </c>
      <c r="D300" s="37">
        <v>196224</v>
      </c>
      <c r="E300" s="19" t="s" vm="238">
        <v>1368</v>
      </c>
      <c r="F300" s="19" t="s">
        <v>1409</v>
      </c>
      <c r="G300" s="19" t="s">
        <v>781</v>
      </c>
      <c r="H300" s="19" t="s">
        <v>67</v>
      </c>
      <c r="I300" s="19" t="s">
        <v>68</v>
      </c>
      <c r="J300" s="19" t="s">
        <v>69</v>
      </c>
      <c r="K300" s="19" t="s">
        <v>6</v>
      </c>
      <c r="L300" s="19">
        <v>94608</v>
      </c>
      <c r="M300" s="19">
        <v>37.842706999999997</v>
      </c>
      <c r="N300" s="19">
        <v>-122.29546000000001</v>
      </c>
      <c r="O300" s="19" t="s">
        <v>786</v>
      </c>
      <c r="P300" s="19" t="s">
        <v>1414</v>
      </c>
      <c r="Q300" s="19" t="s">
        <v>853</v>
      </c>
      <c r="R300" s="19" t="s">
        <v>854</v>
      </c>
      <c r="S300" s="19" t="s">
        <v>855</v>
      </c>
      <c r="T300" s="19" t="s">
        <v>856</v>
      </c>
      <c r="U300" s="19" t="s">
        <v>820</v>
      </c>
      <c r="V300" s="19" t="s">
        <v>782</v>
      </c>
      <c r="W300" s="20">
        <v>1</v>
      </c>
      <c r="X300" s="39">
        <v>2007</v>
      </c>
      <c r="Y300" s="39">
        <v>2014</v>
      </c>
      <c r="Z300" s="25">
        <v>41730</v>
      </c>
      <c r="AA300" s="19">
        <v>2011</v>
      </c>
      <c r="AB300" s="25">
        <v>40299</v>
      </c>
      <c r="AC300" s="19" t="s">
        <v>804</v>
      </c>
      <c r="AD300" s="19" t="s">
        <v>800</v>
      </c>
      <c r="AE300" s="21">
        <v>0</v>
      </c>
      <c r="AF300" s="19">
        <v>5</v>
      </c>
      <c r="AG300" s="19">
        <v>1</v>
      </c>
      <c r="AH300" s="19" t="s">
        <v>792</v>
      </c>
      <c r="AI300" s="19" t="s">
        <v>1375</v>
      </c>
      <c r="AJ300" s="19">
        <v>23</v>
      </c>
      <c r="AK300" s="19">
        <v>2064</v>
      </c>
      <c r="AL300" s="43" t="s">
        <v>752</v>
      </c>
      <c r="AM300" s="19">
        <v>21</v>
      </c>
      <c r="AN300" s="19" t="s">
        <v>1403</v>
      </c>
      <c r="AO300" s="19" t="s">
        <v>1585</v>
      </c>
      <c r="AP300" s="19">
        <v>20425</v>
      </c>
      <c r="AQ300" s="26" t="str">
        <f>IFERROR(PropInfo[[#This Row],[Yardi]]*1,PropInfo[[#This Row],[Yardi]])</f>
        <v>sfo1244</v>
      </c>
    </row>
    <row r="301" spans="1:43" x14ac:dyDescent="0.2">
      <c r="A301" s="43" t="s">
        <v>619</v>
      </c>
      <c r="B301" s="19" t="s">
        <v>620</v>
      </c>
      <c r="C301" s="37">
        <v>270</v>
      </c>
      <c r="D301" s="37">
        <v>239204</v>
      </c>
      <c r="E301" s="19" t="s" vm="129">
        <v>1368</v>
      </c>
      <c r="F301" s="19" t="s">
        <v>1409</v>
      </c>
      <c r="G301" s="19" t="s">
        <v>781</v>
      </c>
      <c r="H301" s="19" t="s">
        <v>620</v>
      </c>
      <c r="I301" s="19" t="s">
        <v>621</v>
      </c>
      <c r="J301" s="19" t="s">
        <v>5</v>
      </c>
      <c r="K301" s="19" t="s">
        <v>6</v>
      </c>
      <c r="L301" s="19">
        <v>95051</v>
      </c>
      <c r="M301" s="19">
        <v>37.349129499999997</v>
      </c>
      <c r="N301" s="19">
        <v>-121.9930207</v>
      </c>
      <c r="O301" s="19" t="s">
        <v>786</v>
      </c>
      <c r="P301" s="19" t="s">
        <v>1414</v>
      </c>
      <c r="Q301" s="19" t="s">
        <v>787</v>
      </c>
      <c r="R301" s="19" t="s">
        <v>5</v>
      </c>
      <c r="S301" s="19" t="s">
        <v>788</v>
      </c>
      <c r="T301" s="19" t="s">
        <v>5</v>
      </c>
      <c r="U301" s="19" t="s">
        <v>820</v>
      </c>
      <c r="V301" s="19" t="s">
        <v>782</v>
      </c>
      <c r="W301" s="20">
        <v>1</v>
      </c>
      <c r="X301" s="39">
        <v>2010</v>
      </c>
      <c r="Y301" s="39">
        <v>2014</v>
      </c>
      <c r="Z301" s="25">
        <v>41730</v>
      </c>
      <c r="AA301" s="19">
        <v>2013</v>
      </c>
      <c r="AB301" s="25">
        <v>41091</v>
      </c>
      <c r="AC301" s="19" t="s">
        <v>783</v>
      </c>
      <c r="AD301" s="19" t="s">
        <v>800</v>
      </c>
      <c r="AE301" s="21">
        <v>0</v>
      </c>
      <c r="AF301" s="19">
        <v>4</v>
      </c>
      <c r="AG301" s="19">
        <v>4</v>
      </c>
      <c r="AH301" s="19" t="s">
        <v>792</v>
      </c>
      <c r="AI301" s="19" t="s">
        <v>1375</v>
      </c>
      <c r="AJ301" s="19">
        <v>27</v>
      </c>
      <c r="AK301" s="19">
        <v>2040</v>
      </c>
      <c r="AL301" s="43" t="s">
        <v>751</v>
      </c>
      <c r="AM301" s="19">
        <v>0</v>
      </c>
      <c r="AN301" s="19" t="s">
        <v>1406</v>
      </c>
      <c r="AO301" s="19" t="s">
        <v>1531</v>
      </c>
      <c r="AP301" s="19">
        <v>35379</v>
      </c>
      <c r="AQ301" s="26" t="str">
        <f>IFERROR(PropInfo[[#This Row],[Yardi]]*1,PropInfo[[#This Row],[Yardi]])</f>
        <v>sfo1256</v>
      </c>
    </row>
    <row r="302" spans="1:43" hidden="1" x14ac:dyDescent="0.2">
      <c r="A302" s="43" t="s">
        <v>615</v>
      </c>
      <c r="B302" s="19" t="s">
        <v>616</v>
      </c>
      <c r="C302" s="37">
        <v>13</v>
      </c>
      <c r="D302" s="37">
        <v>40088</v>
      </c>
      <c r="E302" s="19" t="s">
        <v>762</v>
      </c>
      <c r="F302" s="19" t="s">
        <v>1409</v>
      </c>
      <c r="G302" s="19" t="s">
        <v>835</v>
      </c>
      <c r="H302" s="19" t="s">
        <v>614</v>
      </c>
      <c r="I302" s="19" t="s">
        <v>852</v>
      </c>
      <c r="J302" s="19" t="s">
        <v>138</v>
      </c>
      <c r="K302" s="19" t="s">
        <v>6</v>
      </c>
      <c r="L302" s="19">
        <v>94089</v>
      </c>
      <c r="M302" s="19">
        <v>37.402534000000003</v>
      </c>
      <c r="N302" s="19">
        <v>-122.00773599999999</v>
      </c>
      <c r="O302" s="19" t="s">
        <v>786</v>
      </c>
      <c r="P302" s="19" t="s">
        <v>1414</v>
      </c>
      <c r="Q302" s="19" t="s">
        <v>787</v>
      </c>
      <c r="R302" s="19" t="s">
        <v>5</v>
      </c>
      <c r="S302" s="19" t="s">
        <v>788</v>
      </c>
      <c r="T302" s="19" t="s">
        <v>843</v>
      </c>
      <c r="U302" s="19" t="s">
        <v>779</v>
      </c>
      <c r="V302" s="19" t="s">
        <v>782</v>
      </c>
      <c r="W302" s="20">
        <v>1</v>
      </c>
      <c r="X302" s="39">
        <v>2011</v>
      </c>
      <c r="Y302" s="39">
        <v>2009</v>
      </c>
      <c r="Z302" s="25">
        <v>39560</v>
      </c>
      <c r="AA302" s="19">
        <v>2013</v>
      </c>
      <c r="AB302" s="25">
        <v>40940</v>
      </c>
      <c r="AC302" s="19" t="s">
        <v>804</v>
      </c>
      <c r="AD302" s="19" t="s">
        <v>800</v>
      </c>
      <c r="AE302" s="21">
        <v>0</v>
      </c>
      <c r="AF302" s="19">
        <v>5</v>
      </c>
      <c r="AG302" s="19">
        <v>3</v>
      </c>
      <c r="AH302" s="19" t="s">
        <v>809</v>
      </c>
      <c r="AI302" s="19"/>
      <c r="AJ302" s="19"/>
      <c r="AK302" s="19"/>
      <c r="AL302" s="43" t="e">
        <v>#N/A</v>
      </c>
      <c r="AM302" s="19" t="e">
        <v>#N/A</v>
      </c>
      <c r="AN302" s="19" t="e">
        <v>#N/A</v>
      </c>
      <c r="AO302" s="19" t="s">
        <v>1565</v>
      </c>
      <c r="AP302" s="19">
        <v>0</v>
      </c>
      <c r="AQ302" s="26">
        <f>IFERROR(PropInfo[[#This Row],[Yardi]]*1,PropInfo[[#This Row],[Yardi]])</f>
        <v>185</v>
      </c>
    </row>
    <row r="303" spans="1:43" x14ac:dyDescent="0.2">
      <c r="A303" s="43" t="s">
        <v>369</v>
      </c>
      <c r="B303" s="19" t="s">
        <v>370</v>
      </c>
      <c r="C303" s="37">
        <v>336</v>
      </c>
      <c r="D303" s="37">
        <v>297188</v>
      </c>
      <c r="E303" s="19" t="s" vm="164">
        <v>1368</v>
      </c>
      <c r="F303" s="19" t="s">
        <v>1409</v>
      </c>
      <c r="G303" s="19" t="s">
        <v>781</v>
      </c>
      <c r="H303" s="19" t="s">
        <v>370</v>
      </c>
      <c r="I303" s="19" t="s">
        <v>371</v>
      </c>
      <c r="J303" s="19" t="s">
        <v>138</v>
      </c>
      <c r="K303" s="19" t="s">
        <v>6</v>
      </c>
      <c r="L303" s="19">
        <v>94089</v>
      </c>
      <c r="M303" s="19">
        <v>37.406367899999999</v>
      </c>
      <c r="N303" s="19">
        <v>-121.99584400000001</v>
      </c>
      <c r="O303" s="19" t="s">
        <v>786</v>
      </c>
      <c r="P303" s="19" t="s">
        <v>1414</v>
      </c>
      <c r="Q303" s="19" t="s">
        <v>787</v>
      </c>
      <c r="R303" s="19" t="s">
        <v>5</v>
      </c>
      <c r="S303" s="19" t="s">
        <v>788</v>
      </c>
      <c r="T303" s="19" t="s">
        <v>843</v>
      </c>
      <c r="U303" s="19" t="s">
        <v>820</v>
      </c>
      <c r="V303" s="19" t="s">
        <v>782</v>
      </c>
      <c r="W303" s="20">
        <v>1</v>
      </c>
      <c r="X303" s="39">
        <v>2012</v>
      </c>
      <c r="Y303" s="39">
        <v>2014</v>
      </c>
      <c r="Z303" s="25">
        <v>41730</v>
      </c>
      <c r="AA303" s="19">
        <v>2015</v>
      </c>
      <c r="AB303" s="25">
        <v>41791</v>
      </c>
      <c r="AC303" s="19" t="s">
        <v>804</v>
      </c>
      <c r="AD303" s="19" t="s">
        <v>800</v>
      </c>
      <c r="AE303" s="21">
        <v>0</v>
      </c>
      <c r="AF303" s="19">
        <v>4</v>
      </c>
      <c r="AG303" s="19">
        <v>3</v>
      </c>
      <c r="AH303" s="19" t="s">
        <v>792</v>
      </c>
      <c r="AI303" s="19" t="s">
        <v>1382</v>
      </c>
      <c r="AJ303" s="19">
        <v>46</v>
      </c>
      <c r="AK303" s="19">
        <v>2067</v>
      </c>
      <c r="AL303" s="43" t="s">
        <v>750</v>
      </c>
      <c r="AM303" s="19">
        <v>0</v>
      </c>
      <c r="AN303" s="19" t="s">
        <v>1406</v>
      </c>
      <c r="AO303" s="19" t="s">
        <v>1364</v>
      </c>
      <c r="AP303" s="19">
        <v>34834</v>
      </c>
      <c r="AQ303" s="26" t="str">
        <f>IFERROR(PropInfo[[#This Row],[Yardi]]*1,PropInfo[[#This Row],[Yardi]])</f>
        <v>sfo1267</v>
      </c>
    </row>
    <row r="304" spans="1:43" x14ac:dyDescent="0.2">
      <c r="A304" s="43" t="s">
        <v>432</v>
      </c>
      <c r="B304" s="19" t="s">
        <v>433</v>
      </c>
      <c r="C304" s="38">
        <v>117</v>
      </c>
      <c r="D304" s="37">
        <v>121082</v>
      </c>
      <c r="E304" s="19" t="s" vm="179">
        <v>1368</v>
      </c>
      <c r="F304" s="19" t="s">
        <v>1409</v>
      </c>
      <c r="G304" s="19" t="s">
        <v>781</v>
      </c>
      <c r="H304" s="19" t="s">
        <v>433</v>
      </c>
      <c r="I304" s="19" t="s">
        <v>824</v>
      </c>
      <c r="J304" s="19" t="s">
        <v>9</v>
      </c>
      <c r="K304" s="19" t="s">
        <v>6</v>
      </c>
      <c r="L304" s="19">
        <v>95110</v>
      </c>
      <c r="M304" s="19">
        <v>37.326522300000001</v>
      </c>
      <c r="N304" s="19">
        <v>-121.8973616</v>
      </c>
      <c r="O304" s="19" t="s">
        <v>786</v>
      </c>
      <c r="P304" s="19" t="s">
        <v>1414</v>
      </c>
      <c r="Q304" s="19" t="s">
        <v>787</v>
      </c>
      <c r="R304" s="19" t="s">
        <v>5</v>
      </c>
      <c r="S304" s="19" t="s">
        <v>797</v>
      </c>
      <c r="T304" s="19" t="s">
        <v>805</v>
      </c>
      <c r="U304" s="19" t="s">
        <v>820</v>
      </c>
      <c r="V304" s="19" t="s">
        <v>782</v>
      </c>
      <c r="W304" s="20">
        <v>1</v>
      </c>
      <c r="X304" s="39">
        <v>2002</v>
      </c>
      <c r="Y304" s="39">
        <v>2014</v>
      </c>
      <c r="Z304" s="25">
        <v>41730</v>
      </c>
      <c r="AA304" s="19">
        <v>2011</v>
      </c>
      <c r="AB304" s="25">
        <v>40391</v>
      </c>
      <c r="AC304" s="19" t="s">
        <v>783</v>
      </c>
      <c r="AD304" s="19" t="s">
        <v>784</v>
      </c>
      <c r="AE304" s="21">
        <v>0</v>
      </c>
      <c r="AF304" s="19">
        <v>3</v>
      </c>
      <c r="AG304" s="19">
        <v>11</v>
      </c>
      <c r="AH304" s="19" t="s">
        <v>785</v>
      </c>
      <c r="AI304" s="19" t="s">
        <v>1390</v>
      </c>
      <c r="AJ304" s="19">
        <v>19</v>
      </c>
      <c r="AK304" s="19">
        <v>2032</v>
      </c>
      <c r="AL304" s="43" t="s">
        <v>749</v>
      </c>
      <c r="AM304" s="19">
        <v>0</v>
      </c>
      <c r="AN304" s="19" t="s">
        <v>1406</v>
      </c>
      <c r="AO304" s="19" t="s">
        <v>1525</v>
      </c>
      <c r="AP304" s="19">
        <v>20727</v>
      </c>
      <c r="AQ304" s="26" t="str">
        <f>IFERROR(PropInfo[[#This Row],[Yardi]]*1,PropInfo[[#This Row],[Yardi]])</f>
        <v>sfo1272</v>
      </c>
    </row>
    <row r="305" spans="1:43" x14ac:dyDescent="0.2">
      <c r="A305" s="43" t="s">
        <v>546</v>
      </c>
      <c r="B305" s="19" t="s">
        <v>547</v>
      </c>
      <c r="C305" s="37">
        <v>280</v>
      </c>
      <c r="D305" s="37">
        <v>257659</v>
      </c>
      <c r="E305" s="19" t="s" vm="240">
        <v>1368</v>
      </c>
      <c r="F305" s="19" t="s">
        <v>1409</v>
      </c>
      <c r="G305" s="19" t="s">
        <v>781</v>
      </c>
      <c r="H305" s="19" t="s">
        <v>547</v>
      </c>
      <c r="I305" s="19" t="s">
        <v>851</v>
      </c>
      <c r="J305" s="19" t="s">
        <v>138</v>
      </c>
      <c r="K305" s="19" t="s">
        <v>6</v>
      </c>
      <c r="L305" s="19">
        <v>94086</v>
      </c>
      <c r="M305" s="19">
        <v>37.376317</v>
      </c>
      <c r="N305" s="19">
        <v>-122.031464</v>
      </c>
      <c r="O305" s="19" t="s">
        <v>786</v>
      </c>
      <c r="P305" s="19" t="s">
        <v>1414</v>
      </c>
      <c r="Q305" s="19" t="s">
        <v>787</v>
      </c>
      <c r="R305" s="19" t="s">
        <v>5</v>
      </c>
      <c r="S305" s="19" t="s">
        <v>788</v>
      </c>
      <c r="T305" s="19" t="s">
        <v>843</v>
      </c>
      <c r="U305" s="19" t="s">
        <v>820</v>
      </c>
      <c r="V305" s="19" t="s">
        <v>782</v>
      </c>
      <c r="W305" s="20">
        <v>1</v>
      </c>
      <c r="X305" s="39">
        <v>2014</v>
      </c>
      <c r="Y305" s="39">
        <v>2014</v>
      </c>
      <c r="Z305" s="25">
        <v>41730</v>
      </c>
      <c r="AA305" s="19">
        <v>2015</v>
      </c>
      <c r="AB305" s="25">
        <v>41852</v>
      </c>
      <c r="AC305" s="19" t="s">
        <v>804</v>
      </c>
      <c r="AD305" s="19" t="s">
        <v>800</v>
      </c>
      <c r="AE305" s="21">
        <v>0</v>
      </c>
      <c r="AF305" s="19">
        <v>5</v>
      </c>
      <c r="AG305" s="19">
        <v>2</v>
      </c>
      <c r="AH305" s="19" t="s">
        <v>792</v>
      </c>
      <c r="AI305" s="19"/>
      <c r="AJ305" s="19"/>
      <c r="AK305" s="19"/>
      <c r="AL305" s="43" t="s">
        <v>748</v>
      </c>
      <c r="AM305" s="19">
        <v>0</v>
      </c>
      <c r="AN305" s="19" t="s">
        <v>1406</v>
      </c>
      <c r="AO305" s="19" t="s">
        <v>1527</v>
      </c>
      <c r="AP305" s="19">
        <v>37106</v>
      </c>
      <c r="AQ305" s="26" t="str">
        <f>IFERROR(PropInfo[[#This Row],[Yardi]]*1,PropInfo[[#This Row],[Yardi]])</f>
        <v>sfo1273</v>
      </c>
    </row>
    <row r="306" spans="1:43" x14ac:dyDescent="0.2">
      <c r="A306" s="43" t="s">
        <v>303</v>
      </c>
      <c r="B306" s="19" t="s">
        <v>304</v>
      </c>
      <c r="C306" s="37">
        <v>226</v>
      </c>
      <c r="D306" s="37">
        <v>210050</v>
      </c>
      <c r="E306" s="19" t="s" vm="130">
        <v>1368</v>
      </c>
      <c r="F306" s="19" t="s">
        <v>1409</v>
      </c>
      <c r="G306" s="19" t="s">
        <v>781</v>
      </c>
      <c r="H306" s="19" t="s">
        <v>304</v>
      </c>
      <c r="I306" s="19" t="s">
        <v>305</v>
      </c>
      <c r="J306" s="19" t="s">
        <v>9</v>
      </c>
      <c r="K306" s="19" t="s">
        <v>6</v>
      </c>
      <c r="L306" s="19">
        <v>95134</v>
      </c>
      <c r="M306" s="19">
        <v>37.402370400000002</v>
      </c>
      <c r="N306" s="19">
        <v>-121.9256417</v>
      </c>
      <c r="O306" s="19" t="s">
        <v>786</v>
      </c>
      <c r="P306" s="19" t="s">
        <v>1414</v>
      </c>
      <c r="Q306" s="19" t="s">
        <v>787</v>
      </c>
      <c r="R306" s="19" t="s">
        <v>5</v>
      </c>
      <c r="S306" s="19" t="s">
        <v>797</v>
      </c>
      <c r="T306" s="19" t="s">
        <v>798</v>
      </c>
      <c r="U306" s="19" t="s">
        <v>820</v>
      </c>
      <c r="V306" s="19" t="s">
        <v>782</v>
      </c>
      <c r="W306" s="20">
        <v>1</v>
      </c>
      <c r="X306" s="39">
        <v>1990</v>
      </c>
      <c r="Y306" s="39">
        <v>2014</v>
      </c>
      <c r="Z306" s="25">
        <v>41730</v>
      </c>
      <c r="AA306" s="19">
        <v>2012</v>
      </c>
      <c r="AB306" s="25">
        <v>40544</v>
      </c>
      <c r="AC306" s="19" t="s">
        <v>783</v>
      </c>
      <c r="AD306" s="19" t="s">
        <v>784</v>
      </c>
      <c r="AE306" s="21">
        <v>0</v>
      </c>
      <c r="AF306" s="19">
        <v>3</v>
      </c>
      <c r="AG306" s="19">
        <v>24</v>
      </c>
      <c r="AH306" s="19" t="s">
        <v>792</v>
      </c>
      <c r="AI306" s="19"/>
      <c r="AJ306" s="19"/>
      <c r="AK306" s="19"/>
      <c r="AL306" s="43" t="s">
        <v>747</v>
      </c>
      <c r="AM306" s="19">
        <v>0</v>
      </c>
      <c r="AN306" s="19" t="s">
        <v>1406</v>
      </c>
      <c r="AO306" s="19" t="s">
        <v>1364</v>
      </c>
      <c r="AP306" s="19">
        <v>578</v>
      </c>
      <c r="AQ306" s="26" t="str">
        <f>IFERROR(PropInfo[[#This Row],[Yardi]]*1,PropInfo[[#This Row],[Yardi]])</f>
        <v>sfo1274</v>
      </c>
    </row>
    <row r="307" spans="1:43" x14ac:dyDescent="0.2">
      <c r="A307" s="43" t="s">
        <v>585</v>
      </c>
      <c r="B307" s="19" t="s">
        <v>874</v>
      </c>
      <c r="C307" s="37">
        <v>282</v>
      </c>
      <c r="D307" s="37">
        <v>257796</v>
      </c>
      <c r="E307" s="19" t="s" vm="165">
        <v>1368</v>
      </c>
      <c r="F307" s="19" t="s">
        <v>1409</v>
      </c>
      <c r="G307" s="19" t="s">
        <v>781</v>
      </c>
      <c r="H307" s="19" t="s">
        <v>874</v>
      </c>
      <c r="I307" s="19" t="s">
        <v>875</v>
      </c>
      <c r="J307" s="19" t="s">
        <v>507</v>
      </c>
      <c r="K307" s="19" t="s">
        <v>6</v>
      </c>
      <c r="L307" s="19">
        <v>94607</v>
      </c>
      <c r="M307" s="19">
        <v>37.792317300000001</v>
      </c>
      <c r="N307" s="19">
        <v>-122.2692902</v>
      </c>
      <c r="O307" s="19" t="s">
        <v>786</v>
      </c>
      <c r="P307" s="19" t="s">
        <v>1414</v>
      </c>
      <c r="Q307" s="19" t="s">
        <v>853</v>
      </c>
      <c r="R307" s="19" t="s">
        <v>854</v>
      </c>
      <c r="S307" s="19" t="s">
        <v>855</v>
      </c>
      <c r="T307" s="19" t="s">
        <v>856</v>
      </c>
      <c r="U307" s="19" t="s">
        <v>820</v>
      </c>
      <c r="V307" s="19" t="s">
        <v>782</v>
      </c>
      <c r="W307" s="20">
        <v>1</v>
      </c>
      <c r="X307" s="39">
        <v>2001</v>
      </c>
      <c r="Y307" s="39">
        <v>2014</v>
      </c>
      <c r="Z307" s="25">
        <v>41730</v>
      </c>
      <c r="AA307" s="19">
        <v>2012</v>
      </c>
      <c r="AB307" s="25">
        <v>40695</v>
      </c>
      <c r="AC307" s="19" t="s">
        <v>783</v>
      </c>
      <c r="AD307" s="19" t="s">
        <v>800</v>
      </c>
      <c r="AE307" s="21">
        <v>0</v>
      </c>
      <c r="AF307" s="19">
        <v>4</v>
      </c>
      <c r="AG307" s="19">
        <v>4</v>
      </c>
      <c r="AH307" s="19" t="s">
        <v>792</v>
      </c>
      <c r="AI307" s="19"/>
      <c r="AJ307" s="19"/>
      <c r="AK307" s="19"/>
      <c r="AL307" s="43" t="s">
        <v>746</v>
      </c>
      <c r="AM307" s="19">
        <v>0</v>
      </c>
      <c r="AN307" s="19" t="s">
        <v>1406</v>
      </c>
      <c r="AO307" s="19" t="s">
        <v>1585</v>
      </c>
      <c r="AP307" s="19">
        <v>10423</v>
      </c>
      <c r="AQ307" s="26" t="str">
        <f>IFERROR(PropInfo[[#This Row],[Yardi]]*1,PropInfo[[#This Row],[Yardi]])</f>
        <v>sfo1281</v>
      </c>
    </row>
    <row r="308" spans="1:43" x14ac:dyDescent="0.2">
      <c r="A308" s="43" t="s">
        <v>360</v>
      </c>
      <c r="B308" s="19" t="s">
        <v>361</v>
      </c>
      <c r="C308" s="37">
        <v>150</v>
      </c>
      <c r="D308" s="37">
        <v>153690</v>
      </c>
      <c r="E308" s="19" t="s" vm="183">
        <v>1368</v>
      </c>
      <c r="F308" s="19" t="s">
        <v>1409</v>
      </c>
      <c r="G308" s="19" t="s">
        <v>781</v>
      </c>
      <c r="H308" s="19" t="s">
        <v>361</v>
      </c>
      <c r="I308" s="19" t="s">
        <v>362</v>
      </c>
      <c r="J308" s="19" t="s">
        <v>363</v>
      </c>
      <c r="K308" s="19" t="s">
        <v>6</v>
      </c>
      <c r="L308" s="19">
        <v>94549</v>
      </c>
      <c r="M308" s="19">
        <v>37.895121000000003</v>
      </c>
      <c r="N308" s="19">
        <v>-122.100685</v>
      </c>
      <c r="O308" s="19" t="s">
        <v>786</v>
      </c>
      <c r="P308" s="19" t="s">
        <v>1414</v>
      </c>
      <c r="Q308" s="19" t="s">
        <v>853</v>
      </c>
      <c r="R308" s="19" t="s">
        <v>881</v>
      </c>
      <c r="S308" s="19" t="s">
        <v>87</v>
      </c>
      <c r="T308" s="19" t="s">
        <v>882</v>
      </c>
      <c r="U308" s="19" t="s">
        <v>820</v>
      </c>
      <c r="V308" s="19" t="s">
        <v>782</v>
      </c>
      <c r="W308" s="20">
        <v>1</v>
      </c>
      <c r="X308" s="39">
        <v>1973</v>
      </c>
      <c r="Y308" s="39">
        <v>2014</v>
      </c>
      <c r="Z308" s="25">
        <v>41730</v>
      </c>
      <c r="AA308" s="19">
        <v>2012</v>
      </c>
      <c r="AB308" s="25">
        <v>40787</v>
      </c>
      <c r="AC308" s="19" t="s">
        <v>783</v>
      </c>
      <c r="AD308" s="19" t="s">
        <v>784</v>
      </c>
      <c r="AE308" s="21">
        <v>0</v>
      </c>
      <c r="AF308" s="19">
        <v>3</v>
      </c>
      <c r="AG308" s="19">
        <v>14</v>
      </c>
      <c r="AH308" s="19" t="s">
        <v>792</v>
      </c>
      <c r="AI308" s="19"/>
      <c r="AJ308" s="19"/>
      <c r="AK308" s="19"/>
      <c r="AL308" s="43" t="s">
        <v>745</v>
      </c>
      <c r="AM308" s="19">
        <v>19</v>
      </c>
      <c r="AN308" s="19" t="s">
        <v>1403</v>
      </c>
      <c r="AO308" s="19" t="s">
        <v>1569</v>
      </c>
      <c r="AP308" s="19">
        <v>32667</v>
      </c>
      <c r="AQ308" s="26" t="str">
        <f>IFERROR(PropInfo[[#This Row],[Yardi]]*1,PropInfo[[#This Row],[Yardi]])</f>
        <v>sfo1282</v>
      </c>
    </row>
    <row r="309" spans="1:43" x14ac:dyDescent="0.2">
      <c r="A309" s="43" t="s">
        <v>223</v>
      </c>
      <c r="B309" s="19" t="s">
        <v>224</v>
      </c>
      <c r="C309" s="37">
        <v>171</v>
      </c>
      <c r="D309" s="37">
        <v>167307</v>
      </c>
      <c r="E309" s="19" t="s" vm="239">
        <v>1368</v>
      </c>
      <c r="F309" s="19" t="s">
        <v>1409</v>
      </c>
      <c r="G309" s="19" t="s">
        <v>781</v>
      </c>
      <c r="H309" s="19" t="s">
        <v>224</v>
      </c>
      <c r="I309" s="19" t="s">
        <v>225</v>
      </c>
      <c r="J309" s="19" t="s">
        <v>226</v>
      </c>
      <c r="K309" s="19" t="s">
        <v>6</v>
      </c>
      <c r="L309" s="19">
        <v>94903</v>
      </c>
      <c r="M309" s="19">
        <v>38.021320099999997</v>
      </c>
      <c r="N309" s="19">
        <v>-122.5291228</v>
      </c>
      <c r="O309" s="19" t="s">
        <v>786</v>
      </c>
      <c r="P309" s="19" t="s">
        <v>1414</v>
      </c>
      <c r="Q309" s="19" t="s">
        <v>689</v>
      </c>
      <c r="R309" s="19" t="s">
        <v>920</v>
      </c>
      <c r="S309" s="19" t="s">
        <v>920</v>
      </c>
      <c r="T309" s="19" t="s">
        <v>921</v>
      </c>
      <c r="U309" s="19" t="s">
        <v>820</v>
      </c>
      <c r="V309" s="19" t="s">
        <v>782</v>
      </c>
      <c r="W309" s="20">
        <v>1</v>
      </c>
      <c r="X309" s="39">
        <v>1996</v>
      </c>
      <c r="Y309" s="39">
        <v>2014</v>
      </c>
      <c r="Z309" s="25">
        <v>41730</v>
      </c>
      <c r="AA309" s="19">
        <v>2005</v>
      </c>
      <c r="AB309" s="25">
        <v>38200</v>
      </c>
      <c r="AC309" s="19" t="s">
        <v>783</v>
      </c>
      <c r="AD309" s="19" t="s">
        <v>784</v>
      </c>
      <c r="AE309" s="21">
        <v>0</v>
      </c>
      <c r="AF309" s="19">
        <v>3</v>
      </c>
      <c r="AG309" s="19">
        <v>8</v>
      </c>
      <c r="AH309" s="19" t="s">
        <v>785</v>
      </c>
      <c r="AI309" s="19" t="s">
        <v>1387</v>
      </c>
      <c r="AJ309" s="19">
        <v>26</v>
      </c>
      <c r="AK309" s="19">
        <v>2036</v>
      </c>
      <c r="AL309" s="43" t="s">
        <v>744</v>
      </c>
      <c r="AM309" s="19">
        <v>17</v>
      </c>
      <c r="AN309" s="19" t="s">
        <v>1403</v>
      </c>
      <c r="AO309" s="19" t="s">
        <v>1533</v>
      </c>
      <c r="AP309" s="19">
        <v>401</v>
      </c>
      <c r="AQ309" s="26" t="str">
        <f>IFERROR(PropInfo[[#This Row],[Yardi]]*1,PropInfo[[#This Row],[Yardi]])</f>
        <v>sfo4014</v>
      </c>
    </row>
    <row r="310" spans="1:43" x14ac:dyDescent="0.2">
      <c r="A310" s="43" t="s">
        <v>460</v>
      </c>
      <c r="B310" s="19" t="s">
        <v>461</v>
      </c>
      <c r="C310" s="37">
        <v>240</v>
      </c>
      <c r="D310" s="37">
        <v>257160</v>
      </c>
      <c r="E310" s="19" t="s" vm="230">
        <v>1368</v>
      </c>
      <c r="F310" s="19" t="s">
        <v>1409</v>
      </c>
      <c r="G310" s="19" t="s">
        <v>781</v>
      </c>
      <c r="H310" s="19" t="s">
        <v>461</v>
      </c>
      <c r="I310" s="19" t="s">
        <v>1150</v>
      </c>
      <c r="J310" s="19" t="s">
        <v>368</v>
      </c>
      <c r="K310" s="19" t="s">
        <v>27</v>
      </c>
      <c r="L310" s="19">
        <v>98012</v>
      </c>
      <c r="M310" s="19">
        <v>47.858050599999999</v>
      </c>
      <c r="N310" s="19">
        <v>-122.21628149999999</v>
      </c>
      <c r="O310" s="19" t="s">
        <v>1090</v>
      </c>
      <c r="P310" s="19" t="s">
        <v>1412</v>
      </c>
      <c r="Q310" s="19" t="s">
        <v>1091</v>
      </c>
      <c r="R310" s="19" t="s">
        <v>1147</v>
      </c>
      <c r="S310" s="19" t="s">
        <v>1107</v>
      </c>
      <c r="T310" s="19" t="s">
        <v>1108</v>
      </c>
      <c r="U310" s="19" t="s">
        <v>820</v>
      </c>
      <c r="V310" s="19" t="s">
        <v>782</v>
      </c>
      <c r="W310" s="20">
        <v>1</v>
      </c>
      <c r="X310" s="39">
        <v>1989</v>
      </c>
      <c r="Y310" s="39">
        <v>2014</v>
      </c>
      <c r="Z310" s="25">
        <v>41730</v>
      </c>
      <c r="AA310" s="19">
        <v>2005</v>
      </c>
      <c r="AB310" s="25">
        <v>38047</v>
      </c>
      <c r="AC310" s="19" t="s">
        <v>783</v>
      </c>
      <c r="AD310" s="19" t="s">
        <v>784</v>
      </c>
      <c r="AE310" s="21" t="s">
        <v>1494</v>
      </c>
      <c r="AF310" s="19">
        <v>2</v>
      </c>
      <c r="AG310" s="19">
        <v>31</v>
      </c>
      <c r="AH310" s="19" t="s">
        <v>785</v>
      </c>
      <c r="AI310" s="19"/>
      <c r="AJ310" s="19"/>
      <c r="AK310" s="19"/>
      <c r="AL310" s="43" t="s">
        <v>743</v>
      </c>
      <c r="AM310" s="19">
        <v>0</v>
      </c>
      <c r="AN310" s="19" t="s">
        <v>1406</v>
      </c>
      <c r="AO310" s="19" t="s">
        <v>1349</v>
      </c>
      <c r="AP310" s="19">
        <v>421</v>
      </c>
      <c r="AQ310" s="26" t="str">
        <f>IFERROR(PropInfo[[#This Row],[Yardi]]*1,PropInfo[[#This Row],[Yardi]])</f>
        <v>pnw1105</v>
      </c>
    </row>
    <row r="311" spans="1:43" hidden="1" x14ac:dyDescent="0.2">
      <c r="A311" s="43" t="s">
        <v>640</v>
      </c>
      <c r="B311" s="19" t="s">
        <v>641</v>
      </c>
      <c r="C311" s="37">
        <v>1</v>
      </c>
      <c r="D311" s="37">
        <v>2463</v>
      </c>
      <c r="E311" s="19" t="s">
        <v>762</v>
      </c>
      <c r="F311" s="19" t="s">
        <v>1409</v>
      </c>
      <c r="G311" s="19" t="s">
        <v>835</v>
      </c>
      <c r="H311" s="19" t="s">
        <v>638</v>
      </c>
      <c r="I311" s="19" t="s">
        <v>639</v>
      </c>
      <c r="J311" s="19" t="s">
        <v>26</v>
      </c>
      <c r="K311" s="19" t="s">
        <v>27</v>
      </c>
      <c r="L311" s="19">
        <v>98122</v>
      </c>
      <c r="M311" s="19">
        <v>47.614491000000001</v>
      </c>
      <c r="N311" s="19">
        <v>-122.312798</v>
      </c>
      <c r="O311" s="19" t="s">
        <v>1090</v>
      </c>
      <c r="P311" s="19" t="s">
        <v>1412</v>
      </c>
      <c r="Q311" s="19" t="s">
        <v>1091</v>
      </c>
      <c r="R311" s="19" t="s">
        <v>1092</v>
      </c>
      <c r="S311" s="19" t="s">
        <v>1134</v>
      </c>
      <c r="T311" s="19" t="s">
        <v>1142</v>
      </c>
      <c r="U311" s="19" t="s">
        <v>790</v>
      </c>
      <c r="V311" s="19" t="s">
        <v>782</v>
      </c>
      <c r="W311" s="20">
        <v>1</v>
      </c>
      <c r="X311" s="39">
        <v>2013</v>
      </c>
      <c r="Y311" s="39">
        <v>2013</v>
      </c>
      <c r="Z311" s="25">
        <v>41548</v>
      </c>
      <c r="AA311" s="19">
        <v>2015</v>
      </c>
      <c r="AB311" s="25">
        <v>41640</v>
      </c>
      <c r="AC311" s="19" t="s">
        <v>804</v>
      </c>
      <c r="AD311" s="19" t="s">
        <v>800</v>
      </c>
      <c r="AE311" s="21">
        <v>0</v>
      </c>
      <c r="AF311" s="19">
        <v>6</v>
      </c>
      <c r="AG311" s="19">
        <v>1</v>
      </c>
      <c r="AH311" s="19" t="s">
        <v>792</v>
      </c>
      <c r="AI311" s="19"/>
      <c r="AJ311" s="19"/>
      <c r="AK311" s="19"/>
      <c r="AL311" s="43" t="e">
        <v>#N/A</v>
      </c>
      <c r="AM311" s="19" t="e">
        <v>#N/A</v>
      </c>
      <c r="AN311" s="19" t="e">
        <v>#N/A</v>
      </c>
      <c r="AO311" s="19" t="s">
        <v>1565</v>
      </c>
      <c r="AP311" s="19">
        <v>0</v>
      </c>
      <c r="AQ311" s="26">
        <f>IFERROR(PropInfo[[#This Row],[Yardi]]*1,PropInfo[[#This Row],[Yardi]])</f>
        <v>401</v>
      </c>
    </row>
    <row r="312" spans="1:43" x14ac:dyDescent="0.2">
      <c r="A312" s="43" t="s">
        <v>538</v>
      </c>
      <c r="B312" s="19" t="s">
        <v>539</v>
      </c>
      <c r="C312" s="37">
        <v>418</v>
      </c>
      <c r="D312" s="37">
        <v>340548</v>
      </c>
      <c r="E312" s="19" t="s" vm="118">
        <v>1368</v>
      </c>
      <c r="F312" s="19" t="s">
        <v>1409</v>
      </c>
      <c r="G312" s="19" t="s">
        <v>781</v>
      </c>
      <c r="H312" s="19" t="s">
        <v>539</v>
      </c>
      <c r="I312" s="19" t="s">
        <v>1121</v>
      </c>
      <c r="J312" s="19" t="s">
        <v>230</v>
      </c>
      <c r="K312" s="19" t="s">
        <v>27</v>
      </c>
      <c r="L312" s="19">
        <v>98052</v>
      </c>
      <c r="M312" s="19">
        <v>47.679142800000001</v>
      </c>
      <c r="N312" s="19">
        <v>-122.1447515</v>
      </c>
      <c r="O312" s="19" t="s">
        <v>1090</v>
      </c>
      <c r="P312" s="19" t="s">
        <v>1412</v>
      </c>
      <c r="Q312" s="19" t="s">
        <v>1091</v>
      </c>
      <c r="R312" s="19" t="s">
        <v>1092</v>
      </c>
      <c r="S312" s="19" t="s">
        <v>1093</v>
      </c>
      <c r="T312" s="19" t="s">
        <v>230</v>
      </c>
      <c r="U312" s="19" t="s">
        <v>820</v>
      </c>
      <c r="V312" s="19" t="s">
        <v>782</v>
      </c>
      <c r="W312" s="20">
        <v>1</v>
      </c>
      <c r="X312" s="39">
        <v>1986</v>
      </c>
      <c r="Y312" s="39">
        <v>2014</v>
      </c>
      <c r="Z312" s="25">
        <v>41730</v>
      </c>
      <c r="AA312" s="19">
        <v>2006</v>
      </c>
      <c r="AB312" s="25">
        <v>38534</v>
      </c>
      <c r="AC312" s="19" t="s">
        <v>783</v>
      </c>
      <c r="AD312" s="19" t="s">
        <v>784</v>
      </c>
      <c r="AE312" s="21" t="s">
        <v>1494</v>
      </c>
      <c r="AF312" s="19">
        <v>3</v>
      </c>
      <c r="AG312" s="19">
        <v>12</v>
      </c>
      <c r="AH312" s="19" t="s">
        <v>785</v>
      </c>
      <c r="AI312" s="19"/>
      <c r="AJ312" s="19"/>
      <c r="AK312" s="19"/>
      <c r="AL312" s="43" t="s">
        <v>742</v>
      </c>
      <c r="AM312" s="19">
        <v>0</v>
      </c>
      <c r="AN312" s="19" t="s">
        <v>1406</v>
      </c>
      <c r="AO312" s="19" t="s">
        <v>1523</v>
      </c>
      <c r="AP312" s="19">
        <v>84024</v>
      </c>
      <c r="AQ312" s="26" t="str">
        <f>IFERROR(PropInfo[[#This Row],[Yardi]]*1,PropInfo[[#This Row],[Yardi]])</f>
        <v>pnw1107</v>
      </c>
    </row>
    <row r="313" spans="1:43" x14ac:dyDescent="0.2">
      <c r="A313" s="43" t="s">
        <v>448</v>
      </c>
      <c r="B313" s="19" t="s">
        <v>449</v>
      </c>
      <c r="C313" s="37">
        <v>250</v>
      </c>
      <c r="D313" s="37">
        <v>225802</v>
      </c>
      <c r="E313" s="19" t="s" vm="174">
        <v>1368</v>
      </c>
      <c r="F313" s="19" t="s">
        <v>1409</v>
      </c>
      <c r="G313" s="19" t="s">
        <v>781</v>
      </c>
      <c r="H313" s="19" t="s">
        <v>449</v>
      </c>
      <c r="I313" s="19" t="s">
        <v>1104</v>
      </c>
      <c r="J313" s="19" t="s">
        <v>91</v>
      </c>
      <c r="K313" s="19" t="s">
        <v>27</v>
      </c>
      <c r="L313" s="19">
        <v>98005</v>
      </c>
      <c r="M313" s="19">
        <v>47.607143000000001</v>
      </c>
      <c r="N313" s="19">
        <v>-122.18125999999999</v>
      </c>
      <c r="O313" s="19" t="s">
        <v>1090</v>
      </c>
      <c r="P313" s="19" t="s">
        <v>1412</v>
      </c>
      <c r="Q313" s="19" t="s">
        <v>1091</v>
      </c>
      <c r="R313" s="19" t="s">
        <v>1092</v>
      </c>
      <c r="S313" s="19" t="s">
        <v>1093</v>
      </c>
      <c r="T313" s="19" t="s">
        <v>1100</v>
      </c>
      <c r="U313" s="19" t="s">
        <v>820</v>
      </c>
      <c r="V313" s="19" t="s">
        <v>782</v>
      </c>
      <c r="W313" s="20">
        <v>1</v>
      </c>
      <c r="X313" s="39">
        <v>1993</v>
      </c>
      <c r="Y313" s="39">
        <v>2014</v>
      </c>
      <c r="Z313" s="25">
        <v>41730</v>
      </c>
      <c r="AA313" s="19">
        <v>2005</v>
      </c>
      <c r="AB313" s="25">
        <v>38078</v>
      </c>
      <c r="AC313" s="19" t="s">
        <v>804</v>
      </c>
      <c r="AD313" s="19" t="s">
        <v>784</v>
      </c>
      <c r="AE313" s="21" t="s">
        <v>1494</v>
      </c>
      <c r="AF313" s="19">
        <v>4</v>
      </c>
      <c r="AG313" s="19">
        <v>16</v>
      </c>
      <c r="AH313" s="19" t="s">
        <v>792</v>
      </c>
      <c r="AI313" s="19" t="s">
        <v>1394</v>
      </c>
      <c r="AJ313" s="19">
        <v>82</v>
      </c>
      <c r="AK313" s="19" t="s">
        <v>1379</v>
      </c>
      <c r="AL313" s="43" t="s">
        <v>741</v>
      </c>
      <c r="AM313" s="19">
        <v>0</v>
      </c>
      <c r="AN313" s="19" t="s">
        <v>1406</v>
      </c>
      <c r="AO313" s="19" t="s">
        <v>1348</v>
      </c>
      <c r="AP313" s="19">
        <v>3399</v>
      </c>
      <c r="AQ313" s="26" t="str">
        <f>IFERROR(PropInfo[[#This Row],[Yardi]]*1,PropInfo[[#This Row],[Yardi]])</f>
        <v>pnw1159</v>
      </c>
    </row>
    <row r="314" spans="1:43" x14ac:dyDescent="0.2">
      <c r="A314" s="43" t="s">
        <v>94</v>
      </c>
      <c r="B314" s="19" t="s">
        <v>95</v>
      </c>
      <c r="C314" s="37">
        <v>248</v>
      </c>
      <c r="D314" s="37">
        <v>185615</v>
      </c>
      <c r="E314" s="19" t="s" vm="231">
        <v>1368</v>
      </c>
      <c r="F314" s="19" t="s">
        <v>1409</v>
      </c>
      <c r="G314" s="19" t="s">
        <v>781</v>
      </c>
      <c r="H314" s="19" t="s">
        <v>95</v>
      </c>
      <c r="I314" s="19" t="s">
        <v>1095</v>
      </c>
      <c r="J314" s="19" t="s">
        <v>91</v>
      </c>
      <c r="K314" s="19" t="s">
        <v>27</v>
      </c>
      <c r="L314" s="19">
        <v>98004</v>
      </c>
      <c r="M314" s="19">
        <v>47.612732132700003</v>
      </c>
      <c r="N314" s="19">
        <v>-122.1960946</v>
      </c>
      <c r="O314" s="19" t="s">
        <v>1090</v>
      </c>
      <c r="P314" s="19" t="s">
        <v>1412</v>
      </c>
      <c r="Q314" s="19" t="s">
        <v>1091</v>
      </c>
      <c r="R314" s="19" t="s">
        <v>1092</v>
      </c>
      <c r="S314" s="19" t="s">
        <v>1093</v>
      </c>
      <c r="T314" s="19" t="s">
        <v>1094</v>
      </c>
      <c r="U314" s="19" t="s">
        <v>820</v>
      </c>
      <c r="V314" s="19" t="s">
        <v>782</v>
      </c>
      <c r="W314" s="20">
        <v>1</v>
      </c>
      <c r="X314" s="39">
        <v>2001</v>
      </c>
      <c r="Y314" s="39">
        <v>2014</v>
      </c>
      <c r="Z314" s="25">
        <v>41730</v>
      </c>
      <c r="AA314" s="19">
        <v>2005</v>
      </c>
      <c r="AB314" s="25">
        <v>38200</v>
      </c>
      <c r="AC314" s="19" t="s">
        <v>804</v>
      </c>
      <c r="AD314" s="19" t="s">
        <v>800</v>
      </c>
      <c r="AE314" s="21" t="s">
        <v>1494</v>
      </c>
      <c r="AF314" s="19">
        <v>5</v>
      </c>
      <c r="AG314" s="19">
        <v>4</v>
      </c>
      <c r="AH314" s="19" t="s">
        <v>792</v>
      </c>
      <c r="AI314" s="19"/>
      <c r="AJ314" s="19"/>
      <c r="AK314" s="19"/>
      <c r="AL314" s="43" t="s">
        <v>740</v>
      </c>
      <c r="AM314" s="19">
        <v>31</v>
      </c>
      <c r="AN314" s="19" t="s">
        <v>1403</v>
      </c>
      <c r="AO314" s="19" t="s">
        <v>1351</v>
      </c>
      <c r="AP314" s="19">
        <v>13241</v>
      </c>
      <c r="AQ314" s="26" t="str">
        <f>IFERROR(PropInfo[[#This Row],[Yardi]]*1,PropInfo[[#This Row],[Yardi]])</f>
        <v>pnw1162</v>
      </c>
    </row>
    <row r="315" spans="1:43" x14ac:dyDescent="0.2">
      <c r="A315" s="43" t="s">
        <v>484</v>
      </c>
      <c r="B315" s="19" t="s">
        <v>485</v>
      </c>
      <c r="C315" s="37">
        <v>268</v>
      </c>
      <c r="D315" s="37">
        <v>343095</v>
      </c>
      <c r="E315" s="19" t="s" vm="120">
        <v>1368</v>
      </c>
      <c r="F315" s="19" t="s">
        <v>1409</v>
      </c>
      <c r="G315" s="19" t="s">
        <v>781</v>
      </c>
      <c r="H315" s="19" t="s">
        <v>485</v>
      </c>
      <c r="I315" s="19" t="s">
        <v>486</v>
      </c>
      <c r="J315" s="19" t="s">
        <v>117</v>
      </c>
      <c r="K315" s="19" t="s">
        <v>27</v>
      </c>
      <c r="L315" s="19">
        <v>98021</v>
      </c>
      <c r="M315" s="19">
        <v>47.781861900000003</v>
      </c>
      <c r="N315" s="19">
        <v>-122.17792</v>
      </c>
      <c r="O315" s="19" t="s">
        <v>1090</v>
      </c>
      <c r="P315" s="19" t="s">
        <v>1412</v>
      </c>
      <c r="Q315" s="19" t="s">
        <v>1091</v>
      </c>
      <c r="R315" s="19" t="s">
        <v>1147</v>
      </c>
      <c r="S315" s="19" t="s">
        <v>1107</v>
      </c>
      <c r="T315" s="19" t="s">
        <v>1108</v>
      </c>
      <c r="U315" s="19" t="s">
        <v>820</v>
      </c>
      <c r="V315" s="19" t="s">
        <v>782</v>
      </c>
      <c r="W315" s="20">
        <v>1</v>
      </c>
      <c r="X315" s="39">
        <v>2000</v>
      </c>
      <c r="Y315" s="39">
        <v>2014</v>
      </c>
      <c r="Z315" s="25">
        <v>41730</v>
      </c>
      <c r="AA315" s="19">
        <v>2005</v>
      </c>
      <c r="AB315" s="25">
        <v>38108</v>
      </c>
      <c r="AC315" s="19" t="s">
        <v>783</v>
      </c>
      <c r="AD315" s="19" t="s">
        <v>784</v>
      </c>
      <c r="AE315" s="21" t="s">
        <v>1494</v>
      </c>
      <c r="AF315" s="19">
        <v>3</v>
      </c>
      <c r="AG315" s="19">
        <v>65</v>
      </c>
      <c r="AH315" s="19" t="s">
        <v>792</v>
      </c>
      <c r="AI315" s="19"/>
      <c r="AJ315" s="19"/>
      <c r="AK315" s="19"/>
      <c r="AL315" s="43" t="s">
        <v>739</v>
      </c>
      <c r="AM315" s="19">
        <v>0</v>
      </c>
      <c r="AN315" s="19" t="s">
        <v>1406</v>
      </c>
      <c r="AO315" s="19" t="s">
        <v>1534</v>
      </c>
      <c r="AP315" s="19">
        <v>3703</v>
      </c>
      <c r="AQ315" s="26" t="str">
        <f>IFERROR(PropInfo[[#This Row],[Yardi]]*1,PropInfo[[#This Row],[Yardi]])</f>
        <v>pnw1163</v>
      </c>
    </row>
    <row r="316" spans="1:43" x14ac:dyDescent="0.2">
      <c r="A316" s="43" t="s">
        <v>482</v>
      </c>
      <c r="B316" s="19" t="s">
        <v>483</v>
      </c>
      <c r="C316" s="37">
        <v>180</v>
      </c>
      <c r="D316" s="37">
        <v>190908</v>
      </c>
      <c r="E316" s="19" t="s" vm="158">
        <v>1368</v>
      </c>
      <c r="F316" s="19" t="s">
        <v>1409</v>
      </c>
      <c r="G316" s="19" t="s">
        <v>781</v>
      </c>
      <c r="H316" s="19" t="s">
        <v>483</v>
      </c>
      <c r="I316" s="19" t="s">
        <v>1128</v>
      </c>
      <c r="J316" s="19" t="s">
        <v>135</v>
      </c>
      <c r="K316" s="19" t="s">
        <v>27</v>
      </c>
      <c r="L316" s="19">
        <v>98056</v>
      </c>
      <c r="M316" s="19">
        <v>47.504852999999997</v>
      </c>
      <c r="N316" s="19">
        <v>-122.199026</v>
      </c>
      <c r="O316" s="19" t="s">
        <v>1090</v>
      </c>
      <c r="P316" s="19" t="s">
        <v>1412</v>
      </c>
      <c r="Q316" s="19" t="s">
        <v>1091</v>
      </c>
      <c r="R316" s="19" t="s">
        <v>1092</v>
      </c>
      <c r="S316" s="19" t="s">
        <v>1114</v>
      </c>
      <c r="T316" s="19" t="s">
        <v>135</v>
      </c>
      <c r="U316" s="19" t="s">
        <v>820</v>
      </c>
      <c r="V316" s="19" t="s">
        <v>782</v>
      </c>
      <c r="W316" s="20">
        <v>1</v>
      </c>
      <c r="X316" s="39">
        <v>2001</v>
      </c>
      <c r="Y316" s="39">
        <v>2014</v>
      </c>
      <c r="Z316" s="25">
        <v>41730</v>
      </c>
      <c r="AA316" s="19">
        <v>2005</v>
      </c>
      <c r="AB316" s="25">
        <v>37987</v>
      </c>
      <c r="AC316" s="19" t="s">
        <v>783</v>
      </c>
      <c r="AD316" s="19" t="s">
        <v>800</v>
      </c>
      <c r="AE316" s="21" t="s">
        <v>1494</v>
      </c>
      <c r="AF316" s="19">
        <v>5</v>
      </c>
      <c r="AG316" s="19">
        <v>9</v>
      </c>
      <c r="AH316" s="19" t="s">
        <v>785</v>
      </c>
      <c r="AI316" s="19"/>
      <c r="AJ316" s="19"/>
      <c r="AK316" s="19"/>
      <c r="AL316" s="43" t="s">
        <v>738</v>
      </c>
      <c r="AM316" s="19">
        <v>0</v>
      </c>
      <c r="AN316" s="19" t="s">
        <v>1406</v>
      </c>
      <c r="AO316" s="19" t="s">
        <v>1353</v>
      </c>
      <c r="AP316" s="19">
        <v>11223</v>
      </c>
      <c r="AQ316" s="26" t="str">
        <f>IFERROR(PropInfo[[#This Row],[Yardi]]*1,PropInfo[[#This Row],[Yardi]])</f>
        <v>pnw1191</v>
      </c>
    </row>
    <row r="317" spans="1:43" x14ac:dyDescent="0.2">
      <c r="A317" s="43" t="s">
        <v>593</v>
      </c>
      <c r="B317" s="19" t="s">
        <v>1122</v>
      </c>
      <c r="C317" s="37">
        <v>423</v>
      </c>
      <c r="D317" s="37">
        <v>376000</v>
      </c>
      <c r="E317" s="19" t="s" vm="234">
        <v>1368</v>
      </c>
      <c r="F317" s="19" t="s">
        <v>1409</v>
      </c>
      <c r="G317" s="19" t="s">
        <v>781</v>
      </c>
      <c r="H317" s="19" t="s">
        <v>1122</v>
      </c>
      <c r="I317" s="19" t="s">
        <v>1123</v>
      </c>
      <c r="J317" s="19" t="s">
        <v>230</v>
      </c>
      <c r="K317" s="19" t="s">
        <v>27</v>
      </c>
      <c r="L317" s="19">
        <v>98052</v>
      </c>
      <c r="M317" s="19">
        <v>47.642589800000003</v>
      </c>
      <c r="N317" s="19">
        <v>-122.1192546</v>
      </c>
      <c r="O317" s="19" t="s">
        <v>1090</v>
      </c>
      <c r="P317" s="19" t="s">
        <v>1412</v>
      </c>
      <c r="Q317" s="19" t="s">
        <v>1091</v>
      </c>
      <c r="R317" s="19" t="s">
        <v>1092</v>
      </c>
      <c r="S317" s="19" t="s">
        <v>1093</v>
      </c>
      <c r="T317" s="19" t="s">
        <v>230</v>
      </c>
      <c r="U317" s="19" t="s">
        <v>820</v>
      </c>
      <c r="V317" s="19" t="s">
        <v>782</v>
      </c>
      <c r="W317" s="20">
        <v>1</v>
      </c>
      <c r="X317" s="39">
        <v>1985</v>
      </c>
      <c r="Y317" s="39">
        <v>2014</v>
      </c>
      <c r="Z317" s="25">
        <v>41730</v>
      </c>
      <c r="AA317" s="19">
        <v>2007</v>
      </c>
      <c r="AB317" s="25">
        <v>38808</v>
      </c>
      <c r="AC317" s="19" t="s">
        <v>783</v>
      </c>
      <c r="AD317" s="19" t="s">
        <v>784</v>
      </c>
      <c r="AE317" s="21" t="s">
        <v>1494</v>
      </c>
      <c r="AF317" s="19">
        <v>3</v>
      </c>
      <c r="AG317" s="19">
        <v>25</v>
      </c>
      <c r="AH317" s="19" t="s">
        <v>792</v>
      </c>
      <c r="AI317" s="19"/>
      <c r="AJ317" s="19"/>
      <c r="AK317" s="19"/>
      <c r="AL317" s="43" t="s">
        <v>737</v>
      </c>
      <c r="AM317" s="19">
        <v>0</v>
      </c>
      <c r="AN317" s="19" t="s">
        <v>1406</v>
      </c>
      <c r="AO317" s="19" t="s">
        <v>1348</v>
      </c>
      <c r="AP317" s="19" t="s">
        <v>1499</v>
      </c>
      <c r="AQ317" s="26" t="str">
        <f>IFERROR(PropInfo[[#This Row],[Yardi]]*1,PropInfo[[#This Row],[Yardi]])</f>
        <v>pnw1243</v>
      </c>
    </row>
    <row r="318" spans="1:43" hidden="1" x14ac:dyDescent="0.2">
      <c r="A318" s="43" t="s">
        <v>1182</v>
      </c>
      <c r="B318" s="19" t="s">
        <v>1183</v>
      </c>
      <c r="C318" s="37">
        <v>18</v>
      </c>
      <c r="D318" s="37">
        <v>38265</v>
      </c>
      <c r="E318" s="19" t="s">
        <v>762</v>
      </c>
      <c r="F318" s="19" t="s">
        <v>1409</v>
      </c>
      <c r="G318" s="19" t="s">
        <v>835</v>
      </c>
      <c r="H318" s="19" t="s">
        <v>656</v>
      </c>
      <c r="I318" s="19" t="s">
        <v>963</v>
      </c>
      <c r="J318" s="19" t="s">
        <v>21</v>
      </c>
      <c r="K318" s="19" t="s">
        <v>6</v>
      </c>
      <c r="L318" s="19">
        <v>90036</v>
      </c>
      <c r="M318" s="19">
        <v>34.061897999999999</v>
      </c>
      <c r="N318" s="19">
        <v>-118.343351</v>
      </c>
      <c r="O318" s="19" t="s">
        <v>929</v>
      </c>
      <c r="P318" s="19" t="s">
        <v>1413</v>
      </c>
      <c r="Q318" s="19" t="s">
        <v>930</v>
      </c>
      <c r="R318" s="19" t="s">
        <v>21</v>
      </c>
      <c r="S318" s="19" t="s">
        <v>956</v>
      </c>
      <c r="T318" s="19" t="s">
        <v>960</v>
      </c>
      <c r="U318" s="19" t="s">
        <v>820</v>
      </c>
      <c r="V318" s="19" t="s">
        <v>782</v>
      </c>
      <c r="W318" s="20">
        <v>1</v>
      </c>
      <c r="X318" s="39">
        <v>2014</v>
      </c>
      <c r="Y318" s="39">
        <v>2014</v>
      </c>
      <c r="Z318" s="25">
        <v>41730</v>
      </c>
      <c r="AA318" s="19">
        <v>2015</v>
      </c>
      <c r="AB318" s="25">
        <v>42005</v>
      </c>
      <c r="AC318" s="19" t="s">
        <v>804</v>
      </c>
      <c r="AD318" s="19" t="s">
        <v>800</v>
      </c>
      <c r="AE318" s="21">
        <v>0</v>
      </c>
      <c r="AF318" s="19">
        <v>7</v>
      </c>
      <c r="AG318" s="19">
        <v>1</v>
      </c>
      <c r="AH318" s="19" t="s">
        <v>792</v>
      </c>
      <c r="AI318" s="19"/>
      <c r="AJ318" s="19"/>
      <c r="AK318" s="19"/>
      <c r="AL318" s="43" t="e">
        <v>#N/A</v>
      </c>
      <c r="AM318" s="19" t="e">
        <v>#N/A</v>
      </c>
      <c r="AN318" s="19" t="e">
        <v>#N/A</v>
      </c>
      <c r="AO318" s="19" t="s">
        <v>1565</v>
      </c>
      <c r="AP318" s="19">
        <v>0</v>
      </c>
      <c r="AQ318" s="26" t="str">
        <f>IFERROR(PropInfo[[#This Row],[Yardi]]*1,PropInfo[[#This Row],[Yardi]])</f>
        <v>lax2259</v>
      </c>
    </row>
    <row r="319" spans="1:43" x14ac:dyDescent="0.2">
      <c r="A319" s="43" t="s">
        <v>88</v>
      </c>
      <c r="B319" s="19" t="s">
        <v>89</v>
      </c>
      <c r="C319" s="37">
        <v>296</v>
      </c>
      <c r="D319" s="37">
        <v>241567</v>
      </c>
      <c r="E319" s="19" t="s" vm="122">
        <v>1368</v>
      </c>
      <c r="F319" s="19" t="s">
        <v>1409</v>
      </c>
      <c r="G319" s="19" t="s">
        <v>781</v>
      </c>
      <c r="H319" s="19" t="s">
        <v>89</v>
      </c>
      <c r="I319" s="19" t="s">
        <v>90</v>
      </c>
      <c r="J319" s="19" t="s">
        <v>91</v>
      </c>
      <c r="K319" s="19" t="s">
        <v>27</v>
      </c>
      <c r="L319" s="19">
        <v>98004</v>
      </c>
      <c r="M319" s="19">
        <v>47.619746999999997</v>
      </c>
      <c r="N319" s="19">
        <v>-122.19824</v>
      </c>
      <c r="O319" s="19" t="s">
        <v>1090</v>
      </c>
      <c r="P319" s="19" t="s">
        <v>1412</v>
      </c>
      <c r="Q319" s="19" t="s">
        <v>1091</v>
      </c>
      <c r="R319" s="19" t="s">
        <v>1092</v>
      </c>
      <c r="S319" s="19" t="s">
        <v>1093</v>
      </c>
      <c r="T319" s="19" t="s">
        <v>1094</v>
      </c>
      <c r="U319" s="19" t="s">
        <v>820</v>
      </c>
      <c r="V319" s="19" t="s">
        <v>782</v>
      </c>
      <c r="W319" s="20">
        <v>1</v>
      </c>
      <c r="X319" s="39">
        <v>2009</v>
      </c>
      <c r="Y319" s="39">
        <v>2014</v>
      </c>
      <c r="Z319" s="25">
        <v>41730</v>
      </c>
      <c r="AA319" s="19">
        <v>2011</v>
      </c>
      <c r="AB319" s="25">
        <v>40422</v>
      </c>
      <c r="AC319" s="19" t="s">
        <v>804</v>
      </c>
      <c r="AD319" s="19" t="s">
        <v>800</v>
      </c>
      <c r="AE319" s="21" t="s">
        <v>1494</v>
      </c>
      <c r="AF319" s="19">
        <v>6</v>
      </c>
      <c r="AG319" s="19">
        <v>1</v>
      </c>
      <c r="AH319" s="19" t="s">
        <v>792</v>
      </c>
      <c r="AI319" s="19"/>
      <c r="AJ319" s="19"/>
      <c r="AK319" s="19"/>
      <c r="AL319" s="43" t="s">
        <v>736</v>
      </c>
      <c r="AM319" s="19">
        <v>0</v>
      </c>
      <c r="AN319" s="19" t="s">
        <v>1406</v>
      </c>
      <c r="AO319" s="19" t="s">
        <v>1351</v>
      </c>
      <c r="AP319" s="19">
        <v>38635</v>
      </c>
      <c r="AQ319" s="26" t="str">
        <f>IFERROR(PropInfo[[#This Row],[Yardi]]*1,PropInfo[[#This Row],[Yardi]])</f>
        <v>pnw1246</v>
      </c>
    </row>
    <row r="320" spans="1:43" hidden="1" x14ac:dyDescent="0.2">
      <c r="A320" s="43" t="s">
        <v>659</v>
      </c>
      <c r="B320" s="19" t="s">
        <v>660</v>
      </c>
      <c r="C320" s="37">
        <v>5</v>
      </c>
      <c r="D320" s="37">
        <v>11953</v>
      </c>
      <c r="E320" s="19" t="s">
        <v>762</v>
      </c>
      <c r="F320" s="19" t="s">
        <v>1409</v>
      </c>
      <c r="G320" s="19" t="s">
        <v>835</v>
      </c>
      <c r="H320" s="19" t="s">
        <v>658</v>
      </c>
      <c r="I320" s="19" t="s">
        <v>1029</v>
      </c>
      <c r="J320" s="19" t="s">
        <v>160</v>
      </c>
      <c r="K320" s="19" t="s">
        <v>6</v>
      </c>
      <c r="L320" s="19">
        <v>92832</v>
      </c>
      <c r="M320" s="19">
        <v>33.872630999999998</v>
      </c>
      <c r="N320" s="19">
        <v>-117.926918</v>
      </c>
      <c r="O320" s="19" t="s">
        <v>929</v>
      </c>
      <c r="P320" s="19" t="s">
        <v>1415</v>
      </c>
      <c r="Q320" s="19" t="s">
        <v>1017</v>
      </c>
      <c r="R320" s="19" t="s">
        <v>510</v>
      </c>
      <c r="S320" s="19" t="s">
        <v>1018</v>
      </c>
      <c r="T320" s="19" t="s">
        <v>160</v>
      </c>
      <c r="U320" s="19" t="s">
        <v>790</v>
      </c>
      <c r="V320" s="19" t="s">
        <v>782</v>
      </c>
      <c r="W320" s="20">
        <v>1</v>
      </c>
      <c r="X320" s="39">
        <v>1992</v>
      </c>
      <c r="Y320" s="39">
        <v>1997</v>
      </c>
      <c r="Z320" s="25">
        <v>35433</v>
      </c>
      <c r="AA320" s="19">
        <v>1998</v>
      </c>
      <c r="AB320" s="25">
        <v>35489</v>
      </c>
      <c r="AC320" s="19" t="s">
        <v>804</v>
      </c>
      <c r="AD320" s="19" t="s">
        <v>800</v>
      </c>
      <c r="AE320" s="21">
        <v>0</v>
      </c>
      <c r="AF320" s="19">
        <v>5</v>
      </c>
      <c r="AG320" s="19">
        <v>1</v>
      </c>
      <c r="AH320" s="19" t="s">
        <v>953</v>
      </c>
      <c r="AI320" s="19"/>
      <c r="AJ320" s="19"/>
      <c r="AK320" s="19"/>
      <c r="AL320" s="43" t="e">
        <v>#N/A</v>
      </c>
      <c r="AM320" s="19" t="e">
        <v>#N/A</v>
      </c>
      <c r="AN320" s="19" t="e">
        <v>#N/A</v>
      </c>
      <c r="AO320" s="19" t="s">
        <v>1565</v>
      </c>
      <c r="AP320" s="19">
        <v>0</v>
      </c>
      <c r="AQ320" s="26">
        <f>IFERROR(PropInfo[[#This Row],[Yardi]]*1,PropInfo[[#This Row],[Yardi]])</f>
        <v>337</v>
      </c>
    </row>
    <row r="321" spans="1:43" x14ac:dyDescent="0.2">
      <c r="A321" s="43" t="s">
        <v>556</v>
      </c>
      <c r="B321" s="19" t="s">
        <v>557</v>
      </c>
      <c r="C321" s="37">
        <v>197</v>
      </c>
      <c r="D321" s="37">
        <v>160331</v>
      </c>
      <c r="E321" s="19" t="s" vm="159">
        <v>1368</v>
      </c>
      <c r="F321" s="19" t="s">
        <v>1409</v>
      </c>
      <c r="G321" s="19" t="s">
        <v>781</v>
      </c>
      <c r="H321" s="19" t="s">
        <v>557</v>
      </c>
      <c r="I321" s="19" t="s">
        <v>558</v>
      </c>
      <c r="J321" s="19" t="s">
        <v>26</v>
      </c>
      <c r="K321" s="19" t="s">
        <v>27</v>
      </c>
      <c r="L321" s="19">
        <v>98109</v>
      </c>
      <c r="M321" s="19">
        <v>47.619407000000002</v>
      </c>
      <c r="N321" s="19">
        <v>-122.34614999999999</v>
      </c>
      <c r="O321" s="19" t="s">
        <v>1090</v>
      </c>
      <c r="P321" s="19" t="s">
        <v>1412</v>
      </c>
      <c r="Q321" s="19" t="s">
        <v>1091</v>
      </c>
      <c r="R321" s="19" t="s">
        <v>1092</v>
      </c>
      <c r="S321" s="19" t="s">
        <v>1134</v>
      </c>
      <c r="T321" s="19" t="s">
        <v>1138</v>
      </c>
      <c r="U321" s="19" t="s">
        <v>820</v>
      </c>
      <c r="V321" s="19" t="s">
        <v>782</v>
      </c>
      <c r="W321" s="20">
        <v>1</v>
      </c>
      <c r="X321" s="39">
        <v>2008</v>
      </c>
      <c r="Y321" s="39">
        <v>2014</v>
      </c>
      <c r="Z321" s="25">
        <v>41730</v>
      </c>
      <c r="AA321" s="19">
        <v>2011</v>
      </c>
      <c r="AB321" s="25">
        <v>40330</v>
      </c>
      <c r="AC321" s="19" t="s">
        <v>804</v>
      </c>
      <c r="AD321" s="19" t="s">
        <v>800</v>
      </c>
      <c r="AE321" s="21" t="s">
        <v>1494</v>
      </c>
      <c r="AF321" s="19">
        <v>6</v>
      </c>
      <c r="AG321" s="19">
        <v>1</v>
      </c>
      <c r="AH321" s="19" t="s">
        <v>792</v>
      </c>
      <c r="AI321" s="19"/>
      <c r="AJ321" s="19"/>
      <c r="AK321" s="19"/>
      <c r="AL321" s="43" t="s">
        <v>735</v>
      </c>
      <c r="AM321" s="19">
        <v>32</v>
      </c>
      <c r="AN321" s="19" t="s">
        <v>1403</v>
      </c>
      <c r="AO321" s="19" t="s">
        <v>1365</v>
      </c>
      <c r="AP321" s="19">
        <v>21821</v>
      </c>
      <c r="AQ321" s="26" t="str">
        <f>IFERROR(PropInfo[[#This Row],[Yardi]]*1,PropInfo[[#This Row],[Yardi]])</f>
        <v>pnw1247</v>
      </c>
    </row>
    <row r="322" spans="1:43" x14ac:dyDescent="0.2">
      <c r="A322" s="43" t="s">
        <v>72</v>
      </c>
      <c r="B322" s="19" t="s">
        <v>73</v>
      </c>
      <c r="C322" s="37">
        <v>166</v>
      </c>
      <c r="D322" s="37">
        <v>147034</v>
      </c>
      <c r="E322" s="19" t="s" vm="175">
        <v>1368</v>
      </c>
      <c r="F322" s="19" t="s">
        <v>1409</v>
      </c>
      <c r="G322" s="19" t="s">
        <v>781</v>
      </c>
      <c r="H322" s="19" t="s">
        <v>73</v>
      </c>
      <c r="I322" s="19" t="s">
        <v>74</v>
      </c>
      <c r="J322" s="19" t="s">
        <v>75</v>
      </c>
      <c r="K322" s="19" t="s">
        <v>27</v>
      </c>
      <c r="L322" s="19">
        <v>98040</v>
      </c>
      <c r="M322" s="19">
        <v>47.588845999999997</v>
      </c>
      <c r="N322" s="19">
        <v>-122.237825</v>
      </c>
      <c r="O322" s="19" t="s">
        <v>1090</v>
      </c>
      <c r="P322" s="19" t="s">
        <v>1412</v>
      </c>
      <c r="Q322" s="19" t="s">
        <v>1091</v>
      </c>
      <c r="R322" s="19" t="s">
        <v>1092</v>
      </c>
      <c r="S322" s="19" t="s">
        <v>1093</v>
      </c>
      <c r="T322" s="19" t="s">
        <v>1094</v>
      </c>
      <c r="U322" s="19" t="s">
        <v>820</v>
      </c>
      <c r="V322" s="19" t="s">
        <v>782</v>
      </c>
      <c r="W322" s="20">
        <v>1</v>
      </c>
      <c r="X322" s="39">
        <v>2013</v>
      </c>
      <c r="Y322" s="39">
        <v>2014</v>
      </c>
      <c r="Z322" s="25">
        <v>41730</v>
      </c>
      <c r="AA322" s="19">
        <v>2015</v>
      </c>
      <c r="AB322" s="25">
        <v>41883</v>
      </c>
      <c r="AC322" s="19" t="s">
        <v>804</v>
      </c>
      <c r="AD322" s="19" t="s">
        <v>800</v>
      </c>
      <c r="AE322" s="21" t="s">
        <v>1494</v>
      </c>
      <c r="AF322" s="19">
        <v>6</v>
      </c>
      <c r="AG322" s="19">
        <v>1</v>
      </c>
      <c r="AH322" s="19" t="s">
        <v>792</v>
      </c>
      <c r="AI322" s="19"/>
      <c r="AJ322" s="19"/>
      <c r="AK322" s="19"/>
      <c r="AL322" s="43" t="s">
        <v>734</v>
      </c>
      <c r="AM322" s="19">
        <v>0</v>
      </c>
      <c r="AN322" s="19" t="s">
        <v>1406</v>
      </c>
      <c r="AO322" s="19" t="s">
        <v>1365</v>
      </c>
      <c r="AP322" s="19">
        <v>35755</v>
      </c>
      <c r="AQ322" s="26" t="str">
        <f>IFERROR(PropInfo[[#This Row],[Yardi]]*1,PropInfo[[#This Row],[Yardi]])</f>
        <v>pnw1260</v>
      </c>
    </row>
    <row r="323" spans="1:43" x14ac:dyDescent="0.2">
      <c r="A323" s="43" t="s">
        <v>559</v>
      </c>
      <c r="B323" s="19" t="s">
        <v>1133</v>
      </c>
      <c r="C323" s="37">
        <v>137</v>
      </c>
      <c r="D323" s="37">
        <v>93970</v>
      </c>
      <c r="E323" s="19" t="s" vm="173">
        <v>1368</v>
      </c>
      <c r="F323" s="19" t="s">
        <v>1409</v>
      </c>
      <c r="G323" s="19" t="s">
        <v>781</v>
      </c>
      <c r="H323" s="19" t="s">
        <v>1133</v>
      </c>
      <c r="I323" s="19" t="s">
        <v>560</v>
      </c>
      <c r="J323" s="19" t="s">
        <v>26</v>
      </c>
      <c r="K323" s="19" t="s">
        <v>27</v>
      </c>
      <c r="L323" s="19">
        <v>98121</v>
      </c>
      <c r="M323" s="19">
        <v>47.616769747299998</v>
      </c>
      <c r="N323" s="19">
        <v>-122.35395440000001</v>
      </c>
      <c r="O323" s="19" t="s">
        <v>1090</v>
      </c>
      <c r="P323" s="19" t="s">
        <v>1412</v>
      </c>
      <c r="Q323" s="19" t="s">
        <v>1091</v>
      </c>
      <c r="R323" s="19" t="s">
        <v>1092</v>
      </c>
      <c r="S323" s="19" t="s">
        <v>1134</v>
      </c>
      <c r="T323" s="19" t="s">
        <v>1135</v>
      </c>
      <c r="U323" s="19" t="s">
        <v>820</v>
      </c>
      <c r="V323" s="19" t="s">
        <v>782</v>
      </c>
      <c r="W323" s="20">
        <v>1</v>
      </c>
      <c r="X323" s="39">
        <v>1992</v>
      </c>
      <c r="Y323" s="39">
        <v>2014</v>
      </c>
      <c r="Z323" s="25">
        <v>41730</v>
      </c>
      <c r="AA323" s="19">
        <v>2005</v>
      </c>
      <c r="AB323" s="25">
        <v>38078</v>
      </c>
      <c r="AC323" s="19" t="s">
        <v>783</v>
      </c>
      <c r="AD323" s="19" t="s">
        <v>800</v>
      </c>
      <c r="AE323" s="21" t="s">
        <v>1494</v>
      </c>
      <c r="AF323" s="19">
        <v>7</v>
      </c>
      <c r="AG323" s="19">
        <v>1</v>
      </c>
      <c r="AH323" s="19" t="s">
        <v>792</v>
      </c>
      <c r="AI323" s="19"/>
      <c r="AJ323" s="19"/>
      <c r="AK323" s="19"/>
      <c r="AL323" s="43" t="s">
        <v>733</v>
      </c>
      <c r="AM323" s="19">
        <v>33</v>
      </c>
      <c r="AN323" s="19" t="s">
        <v>1403</v>
      </c>
      <c r="AO323" s="19" t="s">
        <v>1365</v>
      </c>
      <c r="AP323" s="19">
        <v>13734</v>
      </c>
      <c r="AQ323" s="26" t="str">
        <f>IFERROR(PropInfo[[#This Row],[Yardi]]*1,PropInfo[[#This Row],[Yardi]])</f>
        <v>pnw1214</v>
      </c>
    </row>
    <row r="324" spans="1:43" x14ac:dyDescent="0.2">
      <c r="A324" s="51" t="s">
        <v>490</v>
      </c>
      <c r="B324" s="19" t="s">
        <v>491</v>
      </c>
      <c r="C324" s="37">
        <v>264</v>
      </c>
      <c r="D324" s="37">
        <v>245830</v>
      </c>
      <c r="E324" s="19" t="s" vm="101">
        <v>1368</v>
      </c>
      <c r="F324" s="19" t="s">
        <v>1409</v>
      </c>
      <c r="G324" s="19" t="s">
        <v>781</v>
      </c>
      <c r="H324" s="19" t="s">
        <v>491</v>
      </c>
      <c r="I324" s="19" t="s">
        <v>904</v>
      </c>
      <c r="J324" s="19" t="s">
        <v>492</v>
      </c>
      <c r="K324" s="19" t="s">
        <v>6</v>
      </c>
      <c r="L324" s="19">
        <v>94063</v>
      </c>
      <c r="M324" s="19">
        <v>37.492643000000001</v>
      </c>
      <c r="N324" s="19">
        <v>-122.232131</v>
      </c>
      <c r="O324" s="19" t="s">
        <v>786</v>
      </c>
      <c r="P324" s="19" t="s">
        <v>1414</v>
      </c>
      <c r="Q324" s="19" t="s">
        <v>893</v>
      </c>
      <c r="R324" s="19" t="s">
        <v>345</v>
      </c>
      <c r="S324" s="19" t="s">
        <v>345</v>
      </c>
      <c r="T324" s="19" t="s">
        <v>894</v>
      </c>
      <c r="U324" s="19" t="s">
        <v>820</v>
      </c>
      <c r="V324" s="19" t="s">
        <v>782</v>
      </c>
      <c r="W324" s="20">
        <v>1</v>
      </c>
      <c r="X324" s="39">
        <v>2014</v>
      </c>
      <c r="Y324" s="39">
        <v>2014</v>
      </c>
      <c r="Z324" s="25">
        <v>41730</v>
      </c>
      <c r="AA324" s="19">
        <v>2016</v>
      </c>
      <c r="AB324" s="25">
        <v>42095</v>
      </c>
      <c r="AC324" s="19" t="s">
        <v>783</v>
      </c>
      <c r="AD324" s="19" t="s">
        <v>800</v>
      </c>
      <c r="AE324" s="21">
        <v>0</v>
      </c>
      <c r="AF324" s="19">
        <v>5</v>
      </c>
      <c r="AG324" s="19">
        <v>2</v>
      </c>
      <c r="AH324" s="19"/>
      <c r="AI324" s="19" t="s">
        <v>1393</v>
      </c>
      <c r="AJ324" s="19">
        <v>22</v>
      </c>
      <c r="AK324" s="19">
        <v>2067</v>
      </c>
      <c r="AL324" s="43" t="s">
        <v>490</v>
      </c>
      <c r="AM324" s="19">
        <v>0</v>
      </c>
      <c r="AN324" s="19" t="s">
        <v>1406</v>
      </c>
      <c r="AO324" s="19" t="s">
        <v>1531</v>
      </c>
      <c r="AP324" s="19">
        <v>44354</v>
      </c>
      <c r="AQ324" s="26">
        <f>IFERROR(PropInfo[[#This Row],[Yardi]]*1,PropInfo[[#This Row],[Yardi]])</f>
        <v>581</v>
      </c>
    </row>
    <row r="325" spans="1:43" x14ac:dyDescent="0.2">
      <c r="A325" s="43" t="s">
        <v>389</v>
      </c>
      <c r="B325" s="19" t="s">
        <v>918</v>
      </c>
      <c r="C325" s="37">
        <v>360</v>
      </c>
      <c r="D325" s="37">
        <v>330376</v>
      </c>
      <c r="E325" s="19" t="s" vm="142">
        <v>1368</v>
      </c>
      <c r="F325" s="19" t="s">
        <v>1409</v>
      </c>
      <c r="G325" s="19" t="s">
        <v>781</v>
      </c>
      <c r="H325" s="19" t="s">
        <v>918</v>
      </c>
      <c r="I325" s="19" t="s">
        <v>919</v>
      </c>
      <c r="J325" s="19" t="s">
        <v>106</v>
      </c>
      <c r="K325" s="19" t="s">
        <v>6</v>
      </c>
      <c r="L325" s="19">
        <v>94158</v>
      </c>
      <c r="M325" s="19">
        <v>37.771498000000001</v>
      </c>
      <c r="N325" s="19">
        <v>-122.393777</v>
      </c>
      <c r="O325" s="19" t="s">
        <v>786</v>
      </c>
      <c r="P325" s="19" t="s">
        <v>1414</v>
      </c>
      <c r="Q325" s="19" t="s">
        <v>893</v>
      </c>
      <c r="R325" s="19" t="s">
        <v>106</v>
      </c>
      <c r="S325" s="19" t="s">
        <v>106</v>
      </c>
      <c r="T325" s="19" t="s">
        <v>908</v>
      </c>
      <c r="U325" s="19" t="s">
        <v>820</v>
      </c>
      <c r="V325" s="19" t="s">
        <v>782</v>
      </c>
      <c r="W325" s="20">
        <v>1</v>
      </c>
      <c r="X325" s="39">
        <v>2015</v>
      </c>
      <c r="Y325" s="39">
        <v>2014</v>
      </c>
      <c r="Z325" s="25">
        <v>41730</v>
      </c>
      <c r="AA325" s="19">
        <v>2016</v>
      </c>
      <c r="AB325" s="25">
        <v>42156</v>
      </c>
      <c r="AC325" s="19" t="s">
        <v>804</v>
      </c>
      <c r="AD325" s="19" t="s">
        <v>800</v>
      </c>
      <c r="AE325" s="21">
        <v>0</v>
      </c>
      <c r="AF325" s="19">
        <v>7</v>
      </c>
      <c r="AG325" s="19">
        <v>2</v>
      </c>
      <c r="AH325" s="19"/>
      <c r="AI325" s="19"/>
      <c r="AJ325" s="19"/>
      <c r="AK325" s="19"/>
      <c r="AL325" s="43" t="s">
        <v>389</v>
      </c>
      <c r="AM325" s="19">
        <v>0</v>
      </c>
      <c r="AN325" s="19" t="s">
        <v>1406</v>
      </c>
      <c r="AO325" s="19" t="s">
        <v>1533</v>
      </c>
      <c r="AP325" s="19" t="s">
        <v>1501</v>
      </c>
      <c r="AQ325" s="26">
        <f>IFERROR(PropInfo[[#This Row],[Yardi]]*1,PropInfo[[#This Row],[Yardi]])</f>
        <v>582</v>
      </c>
    </row>
  </sheetData>
  <phoneticPr fontId="13" type="noConversion"/>
  <hyperlinks>
    <hyperlink ref="AU133" r:id="rId1" xr:uid="{11C19956-668E-46E7-87F9-DBA91E5CF88B}"/>
  </hyperlinks>
  <pageMargins left="0.7" right="0.7" top="0.75" bottom="0.75" header="0.3" footer="0.3"/>
  <pageSetup orientation="portrait" verticalDpi="300"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9EFE8-D9C4-4310-8FED-F7F36C07FB61}">
  <dimension ref="A1:AG47"/>
  <sheetViews>
    <sheetView topLeftCell="N16" workbookViewId="0">
      <selection activeCell="B38" sqref="B38"/>
    </sheetView>
  </sheetViews>
  <sheetFormatPr defaultRowHeight="12.75" x14ac:dyDescent="0.2"/>
  <cols>
    <col min="2" max="2" width="39.140625" bestFit="1" customWidth="1"/>
    <col min="10" max="10" width="10.140625" bestFit="1" customWidth="1"/>
  </cols>
  <sheetData>
    <row r="1" spans="1:33" x14ac:dyDescent="0.2">
      <c r="A1" t="s">
        <v>768</v>
      </c>
      <c r="B1" t="s">
        <v>767</v>
      </c>
      <c r="C1" t="s">
        <v>771</v>
      </c>
      <c r="D1" t="s">
        <v>1230</v>
      </c>
      <c r="E1" t="s">
        <v>1217</v>
      </c>
      <c r="F1" t="s">
        <v>1239</v>
      </c>
      <c r="G1" t="s">
        <v>1218</v>
      </c>
      <c r="H1" t="s">
        <v>1219</v>
      </c>
      <c r="I1" t="s">
        <v>1231</v>
      </c>
      <c r="J1" t="s">
        <v>1484</v>
      </c>
      <c r="K1" t="s">
        <v>1400</v>
      </c>
      <c r="L1" t="s">
        <v>0</v>
      </c>
      <c r="M1" t="s">
        <v>1</v>
      </c>
      <c r="N1" t="s">
        <v>2</v>
      </c>
      <c r="O1" t="s">
        <v>772</v>
      </c>
      <c r="P1" t="s">
        <v>773</v>
      </c>
      <c r="Q1" t="s">
        <v>774</v>
      </c>
      <c r="R1" t="s">
        <v>1224</v>
      </c>
      <c r="S1" t="s">
        <v>769</v>
      </c>
      <c r="T1" t="s">
        <v>775</v>
      </c>
      <c r="U1" t="s">
        <v>776</v>
      </c>
      <c r="V1" t="s">
        <v>1225</v>
      </c>
      <c r="W1" t="s">
        <v>777</v>
      </c>
      <c r="X1" t="s">
        <v>1226</v>
      </c>
      <c r="Y1" t="s">
        <v>778</v>
      </c>
      <c r="Z1" t="s">
        <v>1227</v>
      </c>
      <c r="AA1" t="s">
        <v>1228</v>
      </c>
      <c r="AB1" t="s">
        <v>770</v>
      </c>
      <c r="AC1" t="s">
        <v>1372</v>
      </c>
      <c r="AD1" t="s">
        <v>1373</v>
      </c>
      <c r="AE1" t="s">
        <v>1374</v>
      </c>
      <c r="AF1" t="s">
        <v>1229</v>
      </c>
      <c r="AG1" t="s">
        <v>1238</v>
      </c>
    </row>
    <row r="2" spans="1:33" x14ac:dyDescent="0.2">
      <c r="A2" t="s">
        <v>236</v>
      </c>
      <c r="B2" t="s">
        <v>237</v>
      </c>
      <c r="G2">
        <v>2012</v>
      </c>
      <c r="J2" s="16">
        <v>43263</v>
      </c>
      <c r="L2" t="s">
        <v>1342</v>
      </c>
      <c r="M2" t="s">
        <v>1290</v>
      </c>
      <c r="N2" t="s">
        <v>6</v>
      </c>
      <c r="O2">
        <v>92123</v>
      </c>
      <c r="AB2">
        <v>379</v>
      </c>
    </row>
    <row r="3" spans="1:33" x14ac:dyDescent="0.2">
      <c r="A3" t="s">
        <v>82</v>
      </c>
      <c r="B3" t="s">
        <v>83</v>
      </c>
      <c r="G3">
        <v>1989</v>
      </c>
      <c r="J3" s="16">
        <v>43084</v>
      </c>
      <c r="L3" t="s">
        <v>1291</v>
      </c>
      <c r="M3" t="s">
        <v>1292</v>
      </c>
      <c r="N3" t="s">
        <v>27</v>
      </c>
      <c r="AB3">
        <v>485</v>
      </c>
    </row>
    <row r="4" spans="1:33" x14ac:dyDescent="0.2">
      <c r="A4" t="s">
        <v>195</v>
      </c>
      <c r="B4" t="s">
        <v>196</v>
      </c>
      <c r="G4">
        <v>1989</v>
      </c>
      <c r="J4" s="16">
        <v>43089</v>
      </c>
      <c r="L4" t="s">
        <v>1341</v>
      </c>
      <c r="M4" t="s">
        <v>1293</v>
      </c>
      <c r="N4" t="s">
        <v>27</v>
      </c>
      <c r="AB4">
        <v>102</v>
      </c>
    </row>
    <row r="5" spans="1:33" x14ac:dyDescent="0.2">
      <c r="A5" t="s">
        <v>376</v>
      </c>
      <c r="B5" t="s">
        <v>377</v>
      </c>
      <c r="G5">
        <v>2001</v>
      </c>
      <c r="J5" s="16">
        <v>42978</v>
      </c>
      <c r="L5" t="s">
        <v>1343</v>
      </c>
      <c r="M5" t="s">
        <v>1294</v>
      </c>
      <c r="N5" t="s">
        <v>6</v>
      </c>
      <c r="O5">
        <v>92692</v>
      </c>
      <c r="AB5">
        <v>230</v>
      </c>
    </row>
    <row r="6" spans="1:33" x14ac:dyDescent="0.2">
      <c r="B6" t="s">
        <v>1345</v>
      </c>
      <c r="J6" s="16">
        <v>41847</v>
      </c>
      <c r="L6" t="s">
        <v>1346</v>
      </c>
      <c r="M6" t="s">
        <v>69</v>
      </c>
      <c r="N6" t="s">
        <v>6</v>
      </c>
    </row>
    <row r="7" spans="1:33" x14ac:dyDescent="0.2">
      <c r="A7" t="s">
        <v>1271</v>
      </c>
      <c r="B7" t="s">
        <v>1241</v>
      </c>
      <c r="G7">
        <v>2001</v>
      </c>
      <c r="J7" s="16">
        <v>42738</v>
      </c>
      <c r="L7" t="s">
        <v>1295</v>
      </c>
      <c r="M7" t="s">
        <v>1296</v>
      </c>
      <c r="N7" t="s">
        <v>6</v>
      </c>
      <c r="O7">
        <v>90028</v>
      </c>
      <c r="AB7">
        <v>270</v>
      </c>
    </row>
    <row r="8" spans="1:33" x14ac:dyDescent="0.2">
      <c r="A8" t="s">
        <v>1272</v>
      </c>
      <c r="B8" t="s">
        <v>1242</v>
      </c>
      <c r="G8">
        <v>1964</v>
      </c>
      <c r="J8" s="16">
        <v>42690</v>
      </c>
      <c r="L8" t="s">
        <v>1344</v>
      </c>
      <c r="M8" t="s">
        <v>1297</v>
      </c>
      <c r="N8" t="s">
        <v>6</v>
      </c>
      <c r="O8">
        <v>91324</v>
      </c>
      <c r="AB8">
        <v>189</v>
      </c>
    </row>
    <row r="9" spans="1:33" x14ac:dyDescent="0.2">
      <c r="A9" t="s">
        <v>1273</v>
      </c>
      <c r="B9" t="s">
        <v>152</v>
      </c>
      <c r="G9">
        <v>1986</v>
      </c>
      <c r="J9" s="16">
        <v>42489</v>
      </c>
      <c r="L9" t="s">
        <v>1298</v>
      </c>
      <c r="M9" t="s">
        <v>1297</v>
      </c>
      <c r="N9" t="s">
        <v>6</v>
      </c>
      <c r="O9">
        <v>91325</v>
      </c>
      <c r="AB9">
        <v>200</v>
      </c>
    </row>
    <row r="10" spans="1:33" x14ac:dyDescent="0.2">
      <c r="A10" t="s">
        <v>324</v>
      </c>
      <c r="B10" t="s">
        <v>1243</v>
      </c>
      <c r="G10">
        <v>2004</v>
      </c>
      <c r="J10" s="16">
        <v>42418</v>
      </c>
      <c r="L10" t="s">
        <v>1299</v>
      </c>
      <c r="M10" t="s">
        <v>1300</v>
      </c>
      <c r="N10" t="s">
        <v>1338</v>
      </c>
      <c r="O10">
        <v>95404</v>
      </c>
      <c r="AB10">
        <v>104</v>
      </c>
    </row>
    <row r="11" spans="1:33" x14ac:dyDescent="0.2">
      <c r="A11" t="s">
        <v>761</v>
      </c>
      <c r="B11" t="s">
        <v>1244</v>
      </c>
      <c r="G11">
        <v>1987</v>
      </c>
      <c r="J11" s="16">
        <v>42383</v>
      </c>
      <c r="L11" t="s">
        <v>1301</v>
      </c>
      <c r="M11" t="s">
        <v>1302</v>
      </c>
      <c r="T11">
        <v>2</v>
      </c>
      <c r="U11">
        <v>2</v>
      </c>
      <c r="AB11">
        <v>2</v>
      </c>
      <c r="AF11">
        <v>31911</v>
      </c>
    </row>
    <row r="12" spans="1:33" x14ac:dyDescent="0.2">
      <c r="A12" t="s">
        <v>1274</v>
      </c>
      <c r="B12" t="s">
        <v>1245</v>
      </c>
      <c r="G12">
        <v>2005</v>
      </c>
      <c r="J12" s="16">
        <v>42381</v>
      </c>
      <c r="L12" t="s">
        <v>1303</v>
      </c>
      <c r="M12" t="s">
        <v>1304</v>
      </c>
      <c r="N12" t="s">
        <v>6</v>
      </c>
      <c r="O12">
        <v>91709</v>
      </c>
      <c r="AB12">
        <v>332</v>
      </c>
    </row>
    <row r="13" spans="1:33" x14ac:dyDescent="0.2">
      <c r="A13" t="s">
        <v>1275</v>
      </c>
      <c r="B13" t="s">
        <v>1246</v>
      </c>
      <c r="G13">
        <v>1970</v>
      </c>
      <c r="J13" s="16">
        <v>42349</v>
      </c>
      <c r="L13" t="s">
        <v>1305</v>
      </c>
      <c r="M13" t="s">
        <v>1306</v>
      </c>
      <c r="N13" t="s">
        <v>6</v>
      </c>
      <c r="O13">
        <v>94025</v>
      </c>
      <c r="AB13">
        <v>296</v>
      </c>
    </row>
    <row r="14" spans="1:33" x14ac:dyDescent="0.2">
      <c r="A14" t="s">
        <v>1276</v>
      </c>
      <c r="B14" t="s">
        <v>1247</v>
      </c>
      <c r="G14">
        <v>1970</v>
      </c>
      <c r="J14" s="16">
        <v>42076</v>
      </c>
      <c r="M14" t="s">
        <v>69</v>
      </c>
      <c r="AB14">
        <v>30</v>
      </c>
    </row>
    <row r="15" spans="1:33" x14ac:dyDescent="0.2">
      <c r="A15" t="s">
        <v>1277</v>
      </c>
      <c r="B15" t="s">
        <v>1270</v>
      </c>
      <c r="G15">
        <v>1970</v>
      </c>
      <c r="J15" s="16">
        <v>42076</v>
      </c>
      <c r="M15" t="s">
        <v>69</v>
      </c>
      <c r="AB15">
        <v>8</v>
      </c>
    </row>
    <row r="16" spans="1:33" x14ac:dyDescent="0.2">
      <c r="A16" t="s">
        <v>1278</v>
      </c>
      <c r="B16" t="s">
        <v>1248</v>
      </c>
      <c r="G16">
        <v>1996</v>
      </c>
      <c r="J16" s="16">
        <v>42011</v>
      </c>
      <c r="L16" t="s">
        <v>1307</v>
      </c>
      <c r="M16" t="s">
        <v>1308</v>
      </c>
      <c r="N16" t="s">
        <v>1339</v>
      </c>
      <c r="O16">
        <v>85044</v>
      </c>
      <c r="AB16">
        <v>552</v>
      </c>
    </row>
    <row r="17" spans="1:28" x14ac:dyDescent="0.2">
      <c r="A17" t="s">
        <v>1279</v>
      </c>
      <c r="B17" t="s">
        <v>1249</v>
      </c>
      <c r="G17">
        <v>1998</v>
      </c>
      <c r="J17" s="16">
        <v>41991</v>
      </c>
      <c r="L17" t="s">
        <v>1309</v>
      </c>
      <c r="M17" t="s">
        <v>1308</v>
      </c>
      <c r="N17" t="s">
        <v>1339</v>
      </c>
      <c r="O17">
        <v>85016</v>
      </c>
      <c r="AB17">
        <v>350</v>
      </c>
    </row>
    <row r="18" spans="1:28" x14ac:dyDescent="0.2">
      <c r="A18" t="s">
        <v>714</v>
      </c>
      <c r="B18" t="s">
        <v>1250</v>
      </c>
      <c r="G18">
        <v>1987</v>
      </c>
      <c r="J18" s="16">
        <v>41943</v>
      </c>
      <c r="L18" t="s">
        <v>1310</v>
      </c>
      <c r="M18" t="s">
        <v>1311</v>
      </c>
      <c r="AB18">
        <v>96</v>
      </c>
    </row>
    <row r="19" spans="1:28" x14ac:dyDescent="0.2">
      <c r="A19" t="s">
        <v>426</v>
      </c>
      <c r="B19" t="s">
        <v>1251</v>
      </c>
      <c r="G19">
        <v>1973</v>
      </c>
      <c r="J19" s="16">
        <v>41886</v>
      </c>
      <c r="L19" t="s">
        <v>1312</v>
      </c>
      <c r="M19" t="s">
        <v>1313</v>
      </c>
      <c r="N19" t="s">
        <v>6</v>
      </c>
      <c r="O19">
        <v>94131</v>
      </c>
      <c r="AB19">
        <v>99</v>
      </c>
    </row>
    <row r="20" spans="1:28" x14ac:dyDescent="0.2">
      <c r="A20" t="s">
        <v>197</v>
      </c>
      <c r="B20" t="s">
        <v>1252</v>
      </c>
      <c r="G20">
        <v>1979</v>
      </c>
      <c r="J20" s="16">
        <v>41885</v>
      </c>
      <c r="L20" t="s">
        <v>1314</v>
      </c>
      <c r="M20" t="s">
        <v>1315</v>
      </c>
      <c r="N20" t="s">
        <v>6</v>
      </c>
      <c r="O20">
        <v>91604</v>
      </c>
      <c r="AB20">
        <v>39</v>
      </c>
    </row>
    <row r="21" spans="1:28" x14ac:dyDescent="0.2">
      <c r="A21" t="s">
        <v>1280</v>
      </c>
      <c r="B21" t="s">
        <v>1253</v>
      </c>
      <c r="G21">
        <v>2001</v>
      </c>
      <c r="J21" s="16">
        <v>41799</v>
      </c>
      <c r="L21" t="s">
        <v>1268</v>
      </c>
      <c r="N21" t="s">
        <v>1339</v>
      </c>
      <c r="AB21">
        <v>252</v>
      </c>
    </row>
    <row r="22" spans="1:28" x14ac:dyDescent="0.2">
      <c r="A22" t="s">
        <v>222</v>
      </c>
      <c r="B22" t="s">
        <v>1254</v>
      </c>
      <c r="G22">
        <v>1962</v>
      </c>
      <c r="J22" s="16">
        <v>41726</v>
      </c>
      <c r="L22" t="s">
        <v>1269</v>
      </c>
      <c r="AB22">
        <v>69</v>
      </c>
    </row>
    <row r="23" spans="1:28" x14ac:dyDescent="0.2">
      <c r="A23" t="s">
        <v>636</v>
      </c>
      <c r="B23" t="s">
        <v>1255</v>
      </c>
      <c r="G23">
        <v>1975</v>
      </c>
      <c r="J23" s="16">
        <v>41648</v>
      </c>
      <c r="L23" t="s">
        <v>1316</v>
      </c>
      <c r="M23" t="s">
        <v>1290</v>
      </c>
      <c r="N23" t="s">
        <v>6</v>
      </c>
      <c r="O23">
        <v>92123</v>
      </c>
      <c r="AB23">
        <v>151</v>
      </c>
    </row>
    <row r="24" spans="1:28" x14ac:dyDescent="0.2">
      <c r="A24" t="s">
        <v>120</v>
      </c>
      <c r="B24" t="s">
        <v>1256</v>
      </c>
      <c r="G24">
        <v>1970</v>
      </c>
      <c r="J24" s="16">
        <v>41617</v>
      </c>
      <c r="L24" t="s">
        <v>1317</v>
      </c>
      <c r="M24" t="s">
        <v>1318</v>
      </c>
      <c r="N24" t="s">
        <v>6</v>
      </c>
      <c r="O24">
        <v>92705</v>
      </c>
      <c r="AB24">
        <v>140</v>
      </c>
    </row>
    <row r="25" spans="1:28" x14ac:dyDescent="0.2">
      <c r="A25" t="s">
        <v>691</v>
      </c>
      <c r="B25" t="s">
        <v>1257</v>
      </c>
      <c r="G25">
        <v>1965</v>
      </c>
      <c r="J25" s="16">
        <v>41571</v>
      </c>
      <c r="L25" t="s">
        <v>1319</v>
      </c>
      <c r="M25" t="s">
        <v>1320</v>
      </c>
      <c r="AB25">
        <v>41</v>
      </c>
    </row>
    <row r="26" spans="1:28" x14ac:dyDescent="0.2">
      <c r="A26" t="s">
        <v>373</v>
      </c>
      <c r="B26" t="s">
        <v>1258</v>
      </c>
      <c r="G26">
        <v>1971</v>
      </c>
      <c r="J26" s="16">
        <v>41514</v>
      </c>
      <c r="L26" t="s">
        <v>1321</v>
      </c>
      <c r="M26" t="s">
        <v>1293</v>
      </c>
      <c r="N26" t="s">
        <v>27</v>
      </c>
      <c r="O26">
        <v>98113</v>
      </c>
      <c r="AB26">
        <v>183</v>
      </c>
    </row>
    <row r="27" spans="1:28" x14ac:dyDescent="0.2">
      <c r="A27" t="s">
        <v>161</v>
      </c>
      <c r="B27" t="s">
        <v>1259</v>
      </c>
      <c r="G27">
        <v>1971</v>
      </c>
      <c r="J27" s="16">
        <v>41514</v>
      </c>
      <c r="L27" t="s">
        <v>1322</v>
      </c>
      <c r="M27" t="s">
        <v>1323</v>
      </c>
      <c r="N27" t="s">
        <v>6</v>
      </c>
      <c r="O27">
        <v>94002</v>
      </c>
      <c r="AB27">
        <v>195</v>
      </c>
    </row>
    <row r="28" spans="1:28" x14ac:dyDescent="0.2">
      <c r="A28" t="s">
        <v>323</v>
      </c>
      <c r="B28" t="s">
        <v>1260</v>
      </c>
      <c r="G28">
        <v>1971</v>
      </c>
      <c r="J28" s="16">
        <v>41485</v>
      </c>
      <c r="L28" t="s">
        <v>1324</v>
      </c>
      <c r="M28" t="s">
        <v>1325</v>
      </c>
      <c r="N28" t="s">
        <v>6</v>
      </c>
      <c r="O28">
        <v>94404</v>
      </c>
      <c r="AB28">
        <v>400</v>
      </c>
    </row>
    <row r="29" spans="1:28" x14ac:dyDescent="0.2">
      <c r="A29" t="s">
        <v>241</v>
      </c>
      <c r="B29" t="s">
        <v>1261</v>
      </c>
      <c r="G29">
        <v>2008</v>
      </c>
      <c r="J29" s="16">
        <v>41471</v>
      </c>
      <c r="L29" t="s">
        <v>1326</v>
      </c>
      <c r="M29" t="s">
        <v>1293</v>
      </c>
      <c r="N29" t="s">
        <v>27</v>
      </c>
      <c r="O29">
        <v>98102</v>
      </c>
      <c r="AB29">
        <v>133</v>
      </c>
    </row>
    <row r="30" spans="1:28" x14ac:dyDescent="0.2">
      <c r="A30" t="s">
        <v>589</v>
      </c>
      <c r="B30" t="s">
        <v>1262</v>
      </c>
      <c r="G30">
        <v>1990</v>
      </c>
      <c r="J30" s="16">
        <v>41464</v>
      </c>
      <c r="L30" t="s">
        <v>1327</v>
      </c>
      <c r="M30" t="s">
        <v>1328</v>
      </c>
      <c r="N30" t="s">
        <v>6</v>
      </c>
      <c r="AB30">
        <v>169</v>
      </c>
    </row>
    <row r="31" spans="1:28" x14ac:dyDescent="0.2">
      <c r="B31" t="s">
        <v>1263</v>
      </c>
      <c r="G31">
        <v>1991</v>
      </c>
      <c r="J31" s="16">
        <v>41425</v>
      </c>
      <c r="L31" t="s">
        <v>1329</v>
      </c>
      <c r="M31" t="s">
        <v>1330</v>
      </c>
      <c r="N31" t="s">
        <v>27</v>
      </c>
      <c r="O31">
        <v>98272</v>
      </c>
      <c r="AB31">
        <v>222</v>
      </c>
    </row>
    <row r="32" spans="1:28" x14ac:dyDescent="0.2">
      <c r="B32" t="s">
        <v>1264</v>
      </c>
      <c r="J32" s="16">
        <v>41425</v>
      </c>
      <c r="L32" t="s">
        <v>1340</v>
      </c>
      <c r="M32" t="s">
        <v>1331</v>
      </c>
      <c r="N32" t="s">
        <v>27</v>
      </c>
      <c r="O32">
        <v>98208</v>
      </c>
      <c r="AB32">
        <v>201</v>
      </c>
    </row>
    <row r="33" spans="1:33" x14ac:dyDescent="0.2">
      <c r="B33" t="s">
        <v>1265</v>
      </c>
      <c r="J33" s="16">
        <v>41425</v>
      </c>
      <c r="L33" t="s">
        <v>1332</v>
      </c>
      <c r="M33" t="s">
        <v>1333</v>
      </c>
      <c r="N33" t="s">
        <v>27</v>
      </c>
      <c r="AB33">
        <v>386</v>
      </c>
    </row>
    <row r="34" spans="1:33" x14ac:dyDescent="0.2">
      <c r="B34" t="s">
        <v>1266</v>
      </c>
      <c r="J34" s="16">
        <v>41425</v>
      </c>
      <c r="L34" t="s">
        <v>1334</v>
      </c>
      <c r="M34" t="s">
        <v>1335</v>
      </c>
      <c r="N34" t="s">
        <v>27</v>
      </c>
      <c r="O34">
        <v>98011</v>
      </c>
      <c r="AB34">
        <v>114</v>
      </c>
    </row>
    <row r="35" spans="1:33" x14ac:dyDescent="0.2">
      <c r="B35" t="s">
        <v>1267</v>
      </c>
      <c r="J35" s="16">
        <v>41425</v>
      </c>
      <c r="L35" t="s">
        <v>1336</v>
      </c>
      <c r="M35" t="s">
        <v>1337</v>
      </c>
      <c r="N35" t="s">
        <v>27</v>
      </c>
      <c r="O35">
        <v>98057</v>
      </c>
      <c r="AB35">
        <v>196</v>
      </c>
    </row>
    <row r="36" spans="1:33" x14ac:dyDescent="0.2">
      <c r="A36" t="s">
        <v>254</v>
      </c>
      <c r="B36" t="s">
        <v>255</v>
      </c>
      <c r="C36" t="s">
        <v>781</v>
      </c>
      <c r="D36" t="s">
        <v>820</v>
      </c>
      <c r="E36" t="s">
        <v>1028</v>
      </c>
      <c r="F36">
        <v>0.500000004</v>
      </c>
      <c r="G36">
        <v>1987</v>
      </c>
      <c r="H36">
        <v>2014</v>
      </c>
      <c r="I36">
        <v>2006</v>
      </c>
      <c r="J36" s="16">
        <v>43410</v>
      </c>
      <c r="K36" s="16">
        <v>38657</v>
      </c>
      <c r="L36" t="s">
        <v>256</v>
      </c>
      <c r="M36" t="s">
        <v>257</v>
      </c>
      <c r="N36" t="s">
        <v>6</v>
      </c>
      <c r="O36">
        <v>91710</v>
      </c>
      <c r="P36">
        <v>34.044915000000003</v>
      </c>
      <c r="Q36">
        <v>-117.688361</v>
      </c>
      <c r="R36" t="s">
        <v>783</v>
      </c>
      <c r="S36" t="s">
        <v>784</v>
      </c>
      <c r="T36">
        <v>2</v>
      </c>
      <c r="U36">
        <v>8</v>
      </c>
      <c r="V36" t="s">
        <v>870</v>
      </c>
      <c r="W36" t="s">
        <v>929</v>
      </c>
      <c r="X36" t="s">
        <v>1081</v>
      </c>
      <c r="Y36" t="s">
        <v>1082</v>
      </c>
      <c r="Z36" t="s">
        <v>1088</v>
      </c>
      <c r="AA36" t="s">
        <v>1084</v>
      </c>
      <c r="AB36">
        <v>124</v>
      </c>
      <c r="AC36">
        <v>0</v>
      </c>
      <c r="AD36">
        <v>0</v>
      </c>
      <c r="AE36">
        <v>0</v>
      </c>
      <c r="AF36">
        <v>89948</v>
      </c>
      <c r="AG36" t="s">
        <v>686</v>
      </c>
    </row>
    <row r="37" spans="1:33" x14ac:dyDescent="0.2">
      <c r="A37" t="s">
        <v>591</v>
      </c>
      <c r="B37" t="s">
        <v>1085</v>
      </c>
      <c r="C37" t="s">
        <v>781</v>
      </c>
      <c r="D37" t="s">
        <v>820</v>
      </c>
      <c r="E37" t="s">
        <v>799</v>
      </c>
      <c r="F37">
        <v>0.5</v>
      </c>
      <c r="G37">
        <v>1989</v>
      </c>
      <c r="H37">
        <v>2014</v>
      </c>
      <c r="I37">
        <v>2005</v>
      </c>
      <c r="J37" s="16">
        <v>43420</v>
      </c>
      <c r="K37" s="16">
        <v>38108</v>
      </c>
      <c r="L37" t="s">
        <v>592</v>
      </c>
      <c r="M37" t="s">
        <v>581</v>
      </c>
      <c r="N37" t="s">
        <v>6</v>
      </c>
      <c r="O37">
        <v>91709</v>
      </c>
      <c r="P37">
        <v>33.983646999999998</v>
      </c>
      <c r="Q37">
        <v>-117.750838</v>
      </c>
      <c r="R37" t="s">
        <v>783</v>
      </c>
      <c r="S37" t="s">
        <v>784</v>
      </c>
      <c r="T37">
        <v>2</v>
      </c>
      <c r="U37">
        <v>8</v>
      </c>
      <c r="V37" t="s">
        <v>785</v>
      </c>
      <c r="W37" t="s">
        <v>929</v>
      </c>
      <c r="X37" t="s">
        <v>1081</v>
      </c>
      <c r="Y37" t="s">
        <v>1082</v>
      </c>
      <c r="Z37" t="s">
        <v>1088</v>
      </c>
      <c r="AA37" t="s">
        <v>1084</v>
      </c>
      <c r="AB37">
        <v>125</v>
      </c>
      <c r="AC37">
        <v>0</v>
      </c>
      <c r="AD37">
        <v>0</v>
      </c>
      <c r="AE37">
        <v>0</v>
      </c>
      <c r="AF37">
        <v>98420</v>
      </c>
      <c r="AG37" t="s">
        <v>709</v>
      </c>
    </row>
    <row r="38" spans="1:33" x14ac:dyDescent="0.2">
      <c r="A38" t="s">
        <v>22</v>
      </c>
      <c r="B38" t="s">
        <v>23</v>
      </c>
      <c r="C38" t="s">
        <v>781</v>
      </c>
      <c r="D38" t="s">
        <v>790</v>
      </c>
      <c r="E38" t="s">
        <v>782</v>
      </c>
      <c r="F38">
        <v>1</v>
      </c>
      <c r="G38">
        <v>2014</v>
      </c>
      <c r="H38">
        <v>2015</v>
      </c>
      <c r="I38">
        <v>2017</v>
      </c>
      <c r="J38" s="16">
        <v>43453</v>
      </c>
      <c r="K38" s="16">
        <v>42401</v>
      </c>
      <c r="L38" t="s">
        <v>1495</v>
      </c>
      <c r="M38" t="s">
        <v>21</v>
      </c>
      <c r="N38" t="s">
        <v>6</v>
      </c>
      <c r="O38">
        <v>90017</v>
      </c>
      <c r="P38">
        <v>34.046646000000003</v>
      </c>
      <c r="Q38">
        <v>-118.25962699999999</v>
      </c>
      <c r="R38" t="s">
        <v>804</v>
      </c>
      <c r="S38" t="s">
        <v>808</v>
      </c>
      <c r="T38">
        <v>1</v>
      </c>
      <c r="U38">
        <v>0</v>
      </c>
      <c r="V38">
        <v>0</v>
      </c>
      <c r="W38" t="s">
        <v>929</v>
      </c>
      <c r="X38" t="s">
        <v>930</v>
      </c>
      <c r="Y38" t="s">
        <v>21</v>
      </c>
      <c r="Z38" t="s">
        <v>944</v>
      </c>
      <c r="AA38" t="s">
        <v>945</v>
      </c>
      <c r="AB38">
        <v>290</v>
      </c>
      <c r="AC38">
        <v>0</v>
      </c>
      <c r="AD38">
        <v>0</v>
      </c>
      <c r="AE38" t="s">
        <v>22</v>
      </c>
      <c r="AF38">
        <v>298437</v>
      </c>
      <c r="AG38">
        <v>5</v>
      </c>
    </row>
    <row r="39" spans="1:33" x14ac:dyDescent="0.2">
      <c r="A39" t="s">
        <v>1496</v>
      </c>
      <c r="B39" t="s">
        <v>1497</v>
      </c>
      <c r="C39" t="s">
        <v>835</v>
      </c>
      <c r="D39" t="s">
        <v>790</v>
      </c>
      <c r="E39" t="s">
        <v>782</v>
      </c>
      <c r="F39">
        <v>1</v>
      </c>
      <c r="G39">
        <v>2014</v>
      </c>
      <c r="H39">
        <v>2015</v>
      </c>
      <c r="I39">
        <v>2017</v>
      </c>
      <c r="J39" s="16">
        <v>43453</v>
      </c>
      <c r="K39" s="16">
        <v>42401</v>
      </c>
      <c r="L39" t="s">
        <v>1495</v>
      </c>
      <c r="M39" t="s">
        <v>21</v>
      </c>
      <c r="N39" t="s">
        <v>6</v>
      </c>
      <c r="O39">
        <v>90017</v>
      </c>
      <c r="P39">
        <v>34.046646000000003</v>
      </c>
      <c r="Q39">
        <v>-118.25962699999999</v>
      </c>
      <c r="R39" t="s">
        <v>804</v>
      </c>
      <c r="S39" t="s">
        <v>808</v>
      </c>
      <c r="T39">
        <v>1</v>
      </c>
      <c r="U39">
        <v>0</v>
      </c>
      <c r="V39">
        <v>0</v>
      </c>
      <c r="W39" t="s">
        <v>929</v>
      </c>
      <c r="X39" t="s">
        <v>930</v>
      </c>
      <c r="Y39" t="s">
        <v>21</v>
      </c>
      <c r="Z39" t="s">
        <v>944</v>
      </c>
      <c r="AA39" t="s">
        <v>945</v>
      </c>
      <c r="AB39">
        <v>4</v>
      </c>
      <c r="AC39">
        <v>0</v>
      </c>
      <c r="AD39">
        <v>0</v>
      </c>
      <c r="AE39">
        <v>0</v>
      </c>
      <c r="AF39">
        <v>6183</v>
      </c>
      <c r="AG39">
        <v>5</v>
      </c>
    </row>
    <row r="40" spans="1:33" x14ac:dyDescent="0.2">
      <c r="A40" t="s">
        <v>1220</v>
      </c>
      <c r="B40" t="s">
        <v>876</v>
      </c>
      <c r="C40" t="s">
        <v>781</v>
      </c>
      <c r="D40" t="s">
        <v>779</v>
      </c>
      <c r="E40" t="s">
        <v>802</v>
      </c>
      <c r="F40">
        <v>0.5</v>
      </c>
      <c r="G40" t="s">
        <v>1494</v>
      </c>
      <c r="H40" t="s">
        <v>1494</v>
      </c>
      <c r="I40" t="s">
        <v>1494</v>
      </c>
      <c r="J40" s="16">
        <v>43616</v>
      </c>
      <c r="K40" t="s">
        <v>1494</v>
      </c>
      <c r="L40" t="s">
        <v>877</v>
      </c>
      <c r="M40" t="s">
        <v>507</v>
      </c>
      <c r="N40" t="s">
        <v>6</v>
      </c>
      <c r="O40">
        <v>94607</v>
      </c>
      <c r="P40">
        <v>37.794958999999999</v>
      </c>
      <c r="Q40">
        <v>-122.267948</v>
      </c>
      <c r="R40" t="s">
        <v>1494</v>
      </c>
      <c r="S40" t="s">
        <v>1494</v>
      </c>
      <c r="T40" t="s">
        <v>1494</v>
      </c>
      <c r="U40" t="s">
        <v>1494</v>
      </c>
      <c r="V40" t="s">
        <v>1494</v>
      </c>
      <c r="W40" t="s">
        <v>786</v>
      </c>
      <c r="X40" t="s">
        <v>853</v>
      </c>
      <c r="Y40" t="s">
        <v>854</v>
      </c>
      <c r="Z40" t="s">
        <v>855</v>
      </c>
      <c r="AA40" t="s">
        <v>856</v>
      </c>
      <c r="AB40" t="s">
        <v>1494</v>
      </c>
      <c r="AC40" t="s">
        <v>1494</v>
      </c>
      <c r="AD40" t="s">
        <v>1494</v>
      </c>
      <c r="AE40" t="s">
        <v>1494</v>
      </c>
      <c r="AF40" t="s">
        <v>1494</v>
      </c>
      <c r="AG40" t="s">
        <v>1494</v>
      </c>
    </row>
    <row r="41" spans="1:33" x14ac:dyDescent="0.2">
      <c r="A41">
        <v>374</v>
      </c>
      <c r="B41" t="s">
        <v>915</v>
      </c>
      <c r="C41" t="s">
        <v>781</v>
      </c>
      <c r="D41" t="s">
        <v>779</v>
      </c>
      <c r="E41" t="s">
        <v>819</v>
      </c>
      <c r="F41">
        <v>0.55000000000000004</v>
      </c>
      <c r="G41">
        <v>2014</v>
      </c>
      <c r="H41">
        <v>2012</v>
      </c>
      <c r="I41">
        <v>2016</v>
      </c>
      <c r="J41" s="16">
        <v>43767</v>
      </c>
      <c r="K41" s="41">
        <v>42186</v>
      </c>
      <c r="L41" t="s">
        <v>916</v>
      </c>
      <c r="M41" t="s">
        <v>106</v>
      </c>
      <c r="N41" t="s">
        <v>6</v>
      </c>
      <c r="O41">
        <v>94107</v>
      </c>
      <c r="P41">
        <v>37.780161</v>
      </c>
      <c r="Q41">
        <v>-122.403749</v>
      </c>
      <c r="R41" t="s">
        <v>804</v>
      </c>
      <c r="S41" t="s">
        <v>917</v>
      </c>
      <c r="T41">
        <v>9</v>
      </c>
      <c r="U41">
        <v>2</v>
      </c>
      <c r="AB41">
        <v>463</v>
      </c>
      <c r="AD41">
        <v>69</v>
      </c>
      <c r="AE41" t="s">
        <v>1379</v>
      </c>
      <c r="AF41" s="40">
        <v>373181</v>
      </c>
      <c r="AG41" t="s">
        <v>425</v>
      </c>
    </row>
    <row r="42" spans="1:33" x14ac:dyDescent="0.2">
      <c r="A42">
        <v>376</v>
      </c>
      <c r="B42" t="s">
        <v>1171</v>
      </c>
      <c r="C42" t="s">
        <v>835</v>
      </c>
      <c r="D42" t="s">
        <v>779</v>
      </c>
      <c r="E42" t="s">
        <v>819</v>
      </c>
      <c r="F42">
        <v>0.55000000000000004</v>
      </c>
      <c r="G42">
        <v>2014</v>
      </c>
      <c r="H42">
        <v>2012</v>
      </c>
      <c r="I42">
        <v>2016</v>
      </c>
      <c r="J42" s="16">
        <v>43767</v>
      </c>
      <c r="K42" s="25">
        <v>42186</v>
      </c>
      <c r="L42" t="s">
        <v>916</v>
      </c>
      <c r="M42" t="s">
        <v>106</v>
      </c>
      <c r="N42" t="s">
        <v>6</v>
      </c>
      <c r="O42">
        <v>94107</v>
      </c>
      <c r="P42">
        <v>37.780161</v>
      </c>
      <c r="Q42">
        <v>-122.403749</v>
      </c>
      <c r="R42" t="s">
        <v>804</v>
      </c>
      <c r="S42" t="s">
        <v>917</v>
      </c>
      <c r="U42">
        <v>2</v>
      </c>
      <c r="AB42">
        <v>7</v>
      </c>
      <c r="AF42" s="37">
        <v>8312</v>
      </c>
    </row>
    <row r="43" spans="1:33" x14ac:dyDescent="0.2">
      <c r="A43">
        <v>480</v>
      </c>
      <c r="B43" t="s">
        <v>899</v>
      </c>
      <c r="C43" t="s">
        <v>781</v>
      </c>
      <c r="D43" t="s">
        <v>779</v>
      </c>
      <c r="E43" t="s">
        <v>782</v>
      </c>
      <c r="F43">
        <v>1</v>
      </c>
      <c r="H43">
        <v>2014</v>
      </c>
      <c r="J43" s="16">
        <v>43823</v>
      </c>
      <c r="L43" t="s">
        <v>900</v>
      </c>
      <c r="M43" t="s">
        <v>345</v>
      </c>
      <c r="N43" t="s">
        <v>6</v>
      </c>
      <c r="O43">
        <v>94402</v>
      </c>
      <c r="P43">
        <v>37.563034999999999</v>
      </c>
      <c r="Q43">
        <v>-122.322504</v>
      </c>
      <c r="R43" t="s">
        <v>804</v>
      </c>
      <c r="S43" t="s">
        <v>800</v>
      </c>
      <c r="T43">
        <v>5</v>
      </c>
      <c r="U43">
        <v>2</v>
      </c>
      <c r="W43" t="s">
        <v>786</v>
      </c>
      <c r="X43" t="s">
        <v>893</v>
      </c>
      <c r="Y43" t="s">
        <v>345</v>
      </c>
      <c r="Z43" t="s">
        <v>345</v>
      </c>
      <c r="AA43" t="s">
        <v>895</v>
      </c>
    </row>
    <row r="44" spans="1:33" x14ac:dyDescent="0.2">
      <c r="A44">
        <v>481</v>
      </c>
      <c r="B44" t="s">
        <v>1166</v>
      </c>
      <c r="C44" t="s">
        <v>835</v>
      </c>
      <c r="D44" t="s">
        <v>779</v>
      </c>
      <c r="E44" t="s">
        <v>782</v>
      </c>
      <c r="F44">
        <v>1</v>
      </c>
      <c r="H44">
        <v>2014</v>
      </c>
      <c r="J44" s="16">
        <v>43823</v>
      </c>
      <c r="L44" t="s">
        <v>900</v>
      </c>
      <c r="M44" t="s">
        <v>345</v>
      </c>
      <c r="N44" t="s">
        <v>6</v>
      </c>
      <c r="O44">
        <v>94402</v>
      </c>
      <c r="P44">
        <v>37.563034999999999</v>
      </c>
      <c r="Q44">
        <v>-122.322504</v>
      </c>
      <c r="R44" t="s">
        <v>804</v>
      </c>
      <c r="S44" t="s">
        <v>800</v>
      </c>
      <c r="T44">
        <v>5</v>
      </c>
      <c r="U44">
        <v>2</v>
      </c>
      <c r="W44" t="s">
        <v>786</v>
      </c>
      <c r="X44" t="s">
        <v>893</v>
      </c>
      <c r="Y44" t="s">
        <v>345</v>
      </c>
      <c r="Z44" t="s">
        <v>345</v>
      </c>
      <c r="AA44" t="s">
        <v>895</v>
      </c>
    </row>
    <row r="45" spans="1:33" x14ac:dyDescent="0.2">
      <c r="J45" s="16"/>
    </row>
    <row r="47" spans="1:33" x14ac:dyDescent="0.2">
      <c r="P47" s="48"/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9B050-893F-483D-9319-84EA1E3E40CC}">
  <dimension ref="A1:F263"/>
  <sheetViews>
    <sheetView workbookViewId="0">
      <selection activeCell="A154" sqref="A154"/>
    </sheetView>
  </sheetViews>
  <sheetFormatPr defaultRowHeight="12.75" x14ac:dyDescent="0.2"/>
  <cols>
    <col min="2" max="2" width="26.140625" customWidth="1"/>
    <col min="3" max="3" width="23.85546875" bestFit="1" customWidth="1"/>
  </cols>
  <sheetData>
    <row r="1" spans="1:4" ht="25.15" customHeight="1" x14ac:dyDescent="0.2">
      <c r="A1" s="17" t="s">
        <v>768</v>
      </c>
      <c r="B1" s="17" t="s">
        <v>1281</v>
      </c>
      <c r="C1" s="17" t="s">
        <v>1282</v>
      </c>
      <c r="D1" s="17" t="s">
        <v>1285</v>
      </c>
    </row>
    <row r="2" spans="1:4" x14ac:dyDescent="0.2">
      <c r="A2" t="s">
        <v>3</v>
      </c>
      <c r="B2" t="s">
        <v>4</v>
      </c>
    </row>
    <row r="3" spans="1:4" x14ac:dyDescent="0.2">
      <c r="A3" t="s">
        <v>7</v>
      </c>
      <c r="B3" t="s">
        <v>8</v>
      </c>
    </row>
    <row r="4" spans="1:4" x14ac:dyDescent="0.2">
      <c r="A4" t="s">
        <v>12</v>
      </c>
      <c r="B4" t="s">
        <v>13</v>
      </c>
    </row>
    <row r="5" spans="1:4" x14ac:dyDescent="0.2">
      <c r="A5" t="s">
        <v>1220</v>
      </c>
      <c r="B5" t="s">
        <v>876</v>
      </c>
    </row>
    <row r="6" spans="1:4" x14ac:dyDescent="0.2">
      <c r="A6" t="s">
        <v>758</v>
      </c>
      <c r="B6" t="s">
        <v>905</v>
      </c>
      <c r="C6" t="s">
        <v>1289</v>
      </c>
    </row>
    <row r="7" spans="1:4" x14ac:dyDescent="0.2">
      <c r="A7" t="s">
        <v>28</v>
      </c>
      <c r="B7" t="s">
        <v>29</v>
      </c>
      <c r="C7" t="s">
        <v>30</v>
      </c>
      <c r="D7" t="s">
        <v>1288</v>
      </c>
    </row>
    <row r="8" spans="1:4" x14ac:dyDescent="0.2">
      <c r="A8" t="s">
        <v>50</v>
      </c>
      <c r="B8" t="s">
        <v>51</v>
      </c>
    </row>
    <row r="9" spans="1:4" x14ac:dyDescent="0.2">
      <c r="A9" t="s">
        <v>66</v>
      </c>
      <c r="B9" t="s">
        <v>67</v>
      </c>
    </row>
    <row r="10" spans="1:4" x14ac:dyDescent="0.2">
      <c r="A10" t="s">
        <v>85</v>
      </c>
      <c r="B10" t="s">
        <v>1427</v>
      </c>
      <c r="C10" t="s">
        <v>1418</v>
      </c>
      <c r="D10" t="s">
        <v>1417</v>
      </c>
    </row>
    <row r="11" spans="1:4" x14ac:dyDescent="0.2">
      <c r="A11" t="s">
        <v>92</v>
      </c>
      <c r="B11" t="s">
        <v>93</v>
      </c>
    </row>
    <row r="12" spans="1:4" x14ac:dyDescent="0.2">
      <c r="A12" t="s">
        <v>103</v>
      </c>
      <c r="B12" t="s">
        <v>1424</v>
      </c>
    </row>
    <row r="13" spans="1:4" x14ac:dyDescent="0.2">
      <c r="A13" t="s">
        <v>105</v>
      </c>
      <c r="B13" t="s">
        <v>1429</v>
      </c>
    </row>
    <row r="14" spans="1:4" x14ac:dyDescent="0.2">
      <c r="A14" t="s">
        <v>118</v>
      </c>
      <c r="B14" t="s">
        <v>861</v>
      </c>
    </row>
    <row r="15" spans="1:4" x14ac:dyDescent="0.2">
      <c r="A15" t="s">
        <v>122</v>
      </c>
      <c r="B15" t="s">
        <v>123</v>
      </c>
    </row>
    <row r="16" spans="1:4" x14ac:dyDescent="0.2">
      <c r="A16" t="s">
        <v>125</v>
      </c>
      <c r="B16" t="s">
        <v>1434</v>
      </c>
    </row>
    <row r="17" spans="1:4" x14ac:dyDescent="0.2">
      <c r="A17" t="s">
        <v>136</v>
      </c>
      <c r="B17" t="s">
        <v>137</v>
      </c>
    </row>
    <row r="18" spans="1:4" x14ac:dyDescent="0.2">
      <c r="A18" t="s">
        <v>139</v>
      </c>
      <c r="B18" t="s">
        <v>140</v>
      </c>
    </row>
    <row r="19" spans="1:4" x14ac:dyDescent="0.2">
      <c r="A19" t="s">
        <v>153</v>
      </c>
      <c r="B19" t="s">
        <v>1420</v>
      </c>
      <c r="C19" t="s">
        <v>1419</v>
      </c>
      <c r="D19" t="s">
        <v>1419</v>
      </c>
    </row>
    <row r="20" spans="1:4" x14ac:dyDescent="0.2">
      <c r="A20" t="s">
        <v>564</v>
      </c>
      <c r="B20" t="s">
        <v>812</v>
      </c>
    </row>
    <row r="21" spans="1:4" x14ac:dyDescent="0.2">
      <c r="A21" t="s">
        <v>184</v>
      </c>
      <c r="B21" t="s">
        <v>185</v>
      </c>
    </row>
    <row r="22" spans="1:4" x14ac:dyDescent="0.2">
      <c r="A22" t="s">
        <v>189</v>
      </c>
      <c r="B22" t="s">
        <v>922</v>
      </c>
    </row>
    <row r="23" spans="1:4" x14ac:dyDescent="0.2">
      <c r="A23" t="s">
        <v>190</v>
      </c>
      <c r="B23" t="s">
        <v>191</v>
      </c>
    </row>
    <row r="24" spans="1:4" x14ac:dyDescent="0.2">
      <c r="A24" t="s">
        <v>194</v>
      </c>
      <c r="B24" t="s">
        <v>1421</v>
      </c>
      <c r="C24" t="s">
        <v>1422</v>
      </c>
    </row>
    <row r="25" spans="1:4" x14ac:dyDescent="0.2">
      <c r="A25" t="s">
        <v>566</v>
      </c>
      <c r="B25" t="s">
        <v>780</v>
      </c>
    </row>
    <row r="26" spans="1:4" x14ac:dyDescent="0.2">
      <c r="A26" t="s">
        <v>202</v>
      </c>
      <c r="B26" t="s">
        <v>203</v>
      </c>
    </row>
    <row r="27" spans="1:4" x14ac:dyDescent="0.2">
      <c r="A27" t="s">
        <v>219</v>
      </c>
      <c r="B27" t="s">
        <v>220</v>
      </c>
    </row>
    <row r="28" spans="1:4" x14ac:dyDescent="0.2">
      <c r="A28" t="s">
        <v>223</v>
      </c>
      <c r="B28" t="s">
        <v>224</v>
      </c>
    </row>
    <row r="29" spans="1:4" x14ac:dyDescent="0.2">
      <c r="A29" t="s">
        <v>253</v>
      </c>
      <c r="B29" t="s">
        <v>859</v>
      </c>
    </row>
    <row r="30" spans="1:4" x14ac:dyDescent="0.2">
      <c r="A30" t="s">
        <v>258</v>
      </c>
      <c r="B30" t="s">
        <v>259</v>
      </c>
    </row>
    <row r="31" spans="1:4" x14ac:dyDescent="0.2">
      <c r="A31" t="s">
        <v>261</v>
      </c>
      <c r="B31" t="s">
        <v>818</v>
      </c>
    </row>
    <row r="32" spans="1:4" x14ac:dyDescent="0.2">
      <c r="A32" t="s">
        <v>265</v>
      </c>
      <c r="B32" t="s">
        <v>264</v>
      </c>
      <c r="C32" t="s">
        <v>1423</v>
      </c>
    </row>
    <row r="33" spans="1:4" x14ac:dyDescent="0.2">
      <c r="A33" t="s">
        <v>286</v>
      </c>
      <c r="B33" t="s">
        <v>287</v>
      </c>
      <c r="C33" t="s">
        <v>1470</v>
      </c>
    </row>
    <row r="34" spans="1:4" x14ac:dyDescent="0.2">
      <c r="A34" t="s">
        <v>291</v>
      </c>
      <c r="B34" t="s">
        <v>292</v>
      </c>
    </row>
    <row r="35" spans="1:4" x14ac:dyDescent="0.2">
      <c r="A35" t="s">
        <v>303</v>
      </c>
      <c r="B35" t="s">
        <v>304</v>
      </c>
    </row>
    <row r="36" spans="1:4" x14ac:dyDescent="0.2">
      <c r="A36" t="s">
        <v>306</v>
      </c>
      <c r="B36" t="s">
        <v>307</v>
      </c>
    </row>
    <row r="37" spans="1:4" x14ac:dyDescent="0.2">
      <c r="A37" t="s">
        <v>312</v>
      </c>
      <c r="B37" t="s">
        <v>912</v>
      </c>
    </row>
    <row r="38" spans="1:4" x14ac:dyDescent="0.2">
      <c r="A38" t="s">
        <v>315</v>
      </c>
      <c r="B38" t="s">
        <v>878</v>
      </c>
    </row>
    <row r="39" spans="1:4" x14ac:dyDescent="0.2">
      <c r="A39" t="s">
        <v>529</v>
      </c>
      <c r="B39" t="s">
        <v>668</v>
      </c>
      <c r="C39" t="s">
        <v>5</v>
      </c>
    </row>
    <row r="40" spans="1:4" x14ac:dyDescent="0.2">
      <c r="A40" t="s">
        <v>576</v>
      </c>
      <c r="B40" t="s">
        <v>872</v>
      </c>
    </row>
    <row r="41" spans="1:4" x14ac:dyDescent="0.2">
      <c r="A41" t="s">
        <v>343</v>
      </c>
      <c r="B41" t="s">
        <v>1430</v>
      </c>
    </row>
    <row r="42" spans="1:4" x14ac:dyDescent="0.2">
      <c r="A42" t="s">
        <v>360</v>
      </c>
      <c r="B42" t="s">
        <v>361</v>
      </c>
    </row>
    <row r="43" spans="1:4" x14ac:dyDescent="0.2">
      <c r="A43" t="s">
        <v>364</v>
      </c>
      <c r="B43" t="s">
        <v>1435</v>
      </c>
    </row>
    <row r="44" spans="1:4" x14ac:dyDescent="0.2">
      <c r="A44" t="s">
        <v>585</v>
      </c>
      <c r="B44" t="s">
        <v>874</v>
      </c>
    </row>
    <row r="45" spans="1:4" x14ac:dyDescent="0.2">
      <c r="A45" t="s">
        <v>369</v>
      </c>
      <c r="B45" t="s">
        <v>370</v>
      </c>
    </row>
    <row r="46" spans="1:4" x14ac:dyDescent="0.2">
      <c r="A46" t="s">
        <v>372</v>
      </c>
      <c r="B46" t="s">
        <v>1426</v>
      </c>
      <c r="C46" s="6" t="s">
        <v>1448</v>
      </c>
    </row>
    <row r="47" spans="1:4" x14ac:dyDescent="0.2">
      <c r="A47" t="s">
        <v>378</v>
      </c>
      <c r="B47" t="s">
        <v>379</v>
      </c>
      <c r="C47" t="s">
        <v>1449</v>
      </c>
      <c r="D47" t="s">
        <v>1450</v>
      </c>
    </row>
    <row r="48" spans="1:4" x14ac:dyDescent="0.2">
      <c r="A48" t="s">
        <v>383</v>
      </c>
      <c r="B48" t="s">
        <v>384</v>
      </c>
    </row>
    <row r="49" spans="1:3" x14ac:dyDescent="0.2">
      <c r="A49" t="s">
        <v>387</v>
      </c>
      <c r="B49" t="s">
        <v>388</v>
      </c>
    </row>
    <row r="50" spans="1:3" x14ac:dyDescent="0.2">
      <c r="A50" t="s">
        <v>389</v>
      </c>
      <c r="B50" t="s">
        <v>918</v>
      </c>
    </row>
    <row r="51" spans="1:3" x14ac:dyDescent="0.2">
      <c r="A51" t="s">
        <v>396</v>
      </c>
      <c r="B51" t="s">
        <v>1431</v>
      </c>
    </row>
    <row r="52" spans="1:3" x14ac:dyDescent="0.2">
      <c r="A52" t="s">
        <v>397</v>
      </c>
      <c r="B52" t="s">
        <v>398</v>
      </c>
    </row>
    <row r="53" spans="1:3" x14ac:dyDescent="0.2">
      <c r="A53" t="s">
        <v>407</v>
      </c>
      <c r="B53" t="s">
        <v>408</v>
      </c>
    </row>
    <row r="54" spans="1:3" x14ac:dyDescent="0.2">
      <c r="A54" t="s">
        <v>410</v>
      </c>
      <c r="B54" t="s">
        <v>411</v>
      </c>
    </row>
    <row r="55" spans="1:3" x14ac:dyDescent="0.2">
      <c r="A55" t="s">
        <v>416</v>
      </c>
      <c r="B55" t="s">
        <v>1425</v>
      </c>
      <c r="C55" t="s">
        <v>1518</v>
      </c>
    </row>
    <row r="56" spans="1:3" x14ac:dyDescent="0.2">
      <c r="A56" t="s">
        <v>425</v>
      </c>
      <c r="B56" t="s">
        <v>915</v>
      </c>
    </row>
    <row r="57" spans="1:3" x14ac:dyDescent="0.2">
      <c r="A57" t="s">
        <v>432</v>
      </c>
      <c r="B57" t="s">
        <v>433</v>
      </c>
    </row>
    <row r="58" spans="1:3" x14ac:dyDescent="0.2">
      <c r="A58" t="s">
        <v>434</v>
      </c>
      <c r="B58" t="s">
        <v>435</v>
      </c>
    </row>
    <row r="59" spans="1:3" x14ac:dyDescent="0.2">
      <c r="A59" t="s">
        <v>436</v>
      </c>
      <c r="B59" t="s">
        <v>437</v>
      </c>
    </row>
    <row r="60" spans="1:3" x14ac:dyDescent="0.2">
      <c r="A60" t="s">
        <v>441</v>
      </c>
      <c r="B60" t="s">
        <v>830</v>
      </c>
    </row>
    <row r="61" spans="1:3" x14ac:dyDescent="0.2">
      <c r="A61" t="s">
        <v>530</v>
      </c>
      <c r="B61" t="s">
        <v>1433</v>
      </c>
    </row>
    <row r="62" spans="1:3" x14ac:dyDescent="0.2">
      <c r="A62" t="s">
        <v>626</v>
      </c>
      <c r="B62" t="s">
        <v>828</v>
      </c>
    </row>
    <row r="63" spans="1:3" x14ac:dyDescent="0.2">
      <c r="A63" t="s">
        <v>442</v>
      </c>
      <c r="B63" t="s">
        <v>863</v>
      </c>
    </row>
    <row r="64" spans="1:3" x14ac:dyDescent="0.2">
      <c r="A64" t="s">
        <v>444</v>
      </c>
      <c r="B64" t="s">
        <v>445</v>
      </c>
    </row>
    <row r="65" spans="1:2" x14ac:dyDescent="0.2">
      <c r="A65" t="s">
        <v>454</v>
      </c>
      <c r="B65" t="s">
        <v>455</v>
      </c>
    </row>
    <row r="66" spans="1:2" x14ac:dyDescent="0.2">
      <c r="A66" t="s">
        <v>487</v>
      </c>
      <c r="B66" t="s">
        <v>791</v>
      </c>
    </row>
    <row r="67" spans="1:2" x14ac:dyDescent="0.2">
      <c r="A67" t="s">
        <v>490</v>
      </c>
      <c r="B67" t="s">
        <v>491</v>
      </c>
    </row>
    <row r="68" spans="1:2" x14ac:dyDescent="0.2">
      <c r="A68" t="s">
        <v>496</v>
      </c>
      <c r="B68" t="s">
        <v>497</v>
      </c>
    </row>
    <row r="69" spans="1:2" x14ac:dyDescent="0.2">
      <c r="A69" t="s">
        <v>501</v>
      </c>
      <c r="B69" t="s">
        <v>502</v>
      </c>
    </row>
    <row r="70" spans="1:2" x14ac:dyDescent="0.2">
      <c r="A70" t="s">
        <v>514</v>
      </c>
      <c r="B70" t="s">
        <v>515</v>
      </c>
    </row>
    <row r="71" spans="1:2" x14ac:dyDescent="0.2">
      <c r="A71" t="s">
        <v>517</v>
      </c>
      <c r="B71" t="s">
        <v>518</v>
      </c>
    </row>
    <row r="72" spans="1:2" x14ac:dyDescent="0.2">
      <c r="A72" t="s">
        <v>525</v>
      </c>
      <c r="B72" t="s">
        <v>526</v>
      </c>
    </row>
    <row r="73" spans="1:2" x14ac:dyDescent="0.2">
      <c r="A73" t="s">
        <v>706</v>
      </c>
      <c r="B73" t="s">
        <v>899</v>
      </c>
    </row>
    <row r="74" spans="1:2" x14ac:dyDescent="0.2">
      <c r="A74" t="s">
        <v>546</v>
      </c>
      <c r="B74" t="s">
        <v>547</v>
      </c>
    </row>
    <row r="75" spans="1:2" x14ac:dyDescent="0.2">
      <c r="A75" t="s">
        <v>548</v>
      </c>
      <c r="B75" t="s">
        <v>901</v>
      </c>
    </row>
    <row r="76" spans="1:2" x14ac:dyDescent="0.2">
      <c r="A76" t="s">
        <v>1221</v>
      </c>
      <c r="B76" t="s">
        <v>903</v>
      </c>
    </row>
    <row r="77" spans="1:2" x14ac:dyDescent="0.2">
      <c r="A77" t="s">
        <v>549</v>
      </c>
      <c r="B77" t="s">
        <v>550</v>
      </c>
    </row>
    <row r="78" spans="1:2" x14ac:dyDescent="0.2">
      <c r="A78" t="s">
        <v>553</v>
      </c>
      <c r="B78" t="s">
        <v>554</v>
      </c>
    </row>
    <row r="79" spans="1:2" x14ac:dyDescent="0.2">
      <c r="A79" t="s">
        <v>608</v>
      </c>
      <c r="B79" t="s">
        <v>609</v>
      </c>
    </row>
    <row r="80" spans="1:2" x14ac:dyDescent="0.2">
      <c r="A80" t="s">
        <v>613</v>
      </c>
      <c r="B80" t="s">
        <v>614</v>
      </c>
    </row>
    <row r="81" spans="1:2" x14ac:dyDescent="0.2">
      <c r="A81" t="s">
        <v>619</v>
      </c>
      <c r="B81" t="s">
        <v>620</v>
      </c>
    </row>
    <row r="82" spans="1:2" x14ac:dyDescent="0.2">
      <c r="A82" t="s">
        <v>632</v>
      </c>
      <c r="B82" t="s">
        <v>633</v>
      </c>
    </row>
    <row r="83" spans="1:2" x14ac:dyDescent="0.2">
      <c r="A83" t="s">
        <v>650</v>
      </c>
      <c r="B83" t="s">
        <v>816</v>
      </c>
    </row>
    <row r="84" spans="1:2" x14ac:dyDescent="0.2">
      <c r="A84" t="s">
        <v>654</v>
      </c>
      <c r="B84" t="s">
        <v>1428</v>
      </c>
    </row>
    <row r="85" spans="1:2" x14ac:dyDescent="0.2">
      <c r="A85" t="s">
        <v>663</v>
      </c>
      <c r="B85" t="s">
        <v>664</v>
      </c>
    </row>
    <row r="86" spans="1:2" x14ac:dyDescent="0.2">
      <c r="A86" t="s">
        <v>596</v>
      </c>
      <c r="B86" t="s">
        <v>1432</v>
      </c>
    </row>
    <row r="87" spans="1:2" x14ac:dyDescent="0.2">
      <c r="A87" t="s">
        <v>179</v>
      </c>
      <c r="B87" t="s">
        <v>180</v>
      </c>
    </row>
    <row r="88" spans="1:2" x14ac:dyDescent="0.2">
      <c r="A88" t="s">
        <v>205</v>
      </c>
      <c r="B88" t="s">
        <v>1436</v>
      </c>
    </row>
    <row r="89" spans="1:2" x14ac:dyDescent="0.2">
      <c r="A89" t="s">
        <v>214</v>
      </c>
      <c r="B89" t="s">
        <v>215</v>
      </c>
    </row>
    <row r="90" spans="1:2" x14ac:dyDescent="0.2">
      <c r="A90" t="s">
        <v>582</v>
      </c>
      <c r="B90" t="s">
        <v>1109</v>
      </c>
    </row>
    <row r="91" spans="1:2" x14ac:dyDescent="0.2">
      <c r="A91" t="s">
        <v>242</v>
      </c>
      <c r="B91" t="s">
        <v>1437</v>
      </c>
    </row>
    <row r="92" spans="1:2" x14ac:dyDescent="0.2">
      <c r="A92" t="s">
        <v>134</v>
      </c>
      <c r="B92" t="s">
        <v>1129</v>
      </c>
    </row>
    <row r="93" spans="1:2" x14ac:dyDescent="0.2">
      <c r="A93" t="s">
        <v>133</v>
      </c>
      <c r="B93" t="s">
        <v>1117</v>
      </c>
    </row>
    <row r="94" spans="1:2" x14ac:dyDescent="0.2">
      <c r="A94" t="s">
        <v>171</v>
      </c>
      <c r="B94" t="s">
        <v>1120</v>
      </c>
    </row>
    <row r="95" spans="1:2" x14ac:dyDescent="0.2">
      <c r="A95" t="s">
        <v>154</v>
      </c>
      <c r="B95" t="s">
        <v>155</v>
      </c>
    </row>
    <row r="96" spans="1:2" x14ac:dyDescent="0.2">
      <c r="A96" t="s">
        <v>465</v>
      </c>
      <c r="B96" t="s">
        <v>466</v>
      </c>
    </row>
    <row r="97" spans="1:4" x14ac:dyDescent="0.2">
      <c r="A97" t="s">
        <v>268</v>
      </c>
      <c r="B97" t="s">
        <v>269</v>
      </c>
    </row>
    <row r="98" spans="1:4" x14ac:dyDescent="0.2">
      <c r="A98" t="s">
        <v>248</v>
      </c>
      <c r="B98" t="s">
        <v>249</v>
      </c>
    </row>
    <row r="99" spans="1:4" x14ac:dyDescent="0.2">
      <c r="A99" t="s">
        <v>284</v>
      </c>
      <c r="B99" t="s">
        <v>285</v>
      </c>
    </row>
    <row r="100" spans="1:4" x14ac:dyDescent="0.2">
      <c r="A100" t="s">
        <v>295</v>
      </c>
      <c r="B100" t="s">
        <v>296</v>
      </c>
    </row>
    <row r="101" spans="1:4" x14ac:dyDescent="0.2">
      <c r="A101" t="s">
        <v>288</v>
      </c>
      <c r="B101" t="s">
        <v>1131</v>
      </c>
    </row>
    <row r="102" spans="1:4" x14ac:dyDescent="0.2">
      <c r="A102" t="s">
        <v>351</v>
      </c>
      <c r="B102" t="s">
        <v>352</v>
      </c>
    </row>
    <row r="103" spans="1:4" x14ac:dyDescent="0.2">
      <c r="A103" t="s">
        <v>450</v>
      </c>
      <c r="B103" t="s">
        <v>1111</v>
      </c>
      <c r="C103" t="s">
        <v>1467</v>
      </c>
    </row>
    <row r="104" spans="1:4" x14ac:dyDescent="0.2">
      <c r="A104" t="s">
        <v>107</v>
      </c>
      <c r="B104" t="s">
        <v>1438</v>
      </c>
    </row>
    <row r="105" spans="1:4" x14ac:dyDescent="0.2">
      <c r="A105" t="s">
        <v>417</v>
      </c>
      <c r="B105" t="s">
        <v>418</v>
      </c>
    </row>
    <row r="106" spans="1:4" x14ac:dyDescent="0.2">
      <c r="A106" t="s">
        <v>520</v>
      </c>
      <c r="B106" t="s">
        <v>1149</v>
      </c>
      <c r="C106" t="s">
        <v>1466</v>
      </c>
    </row>
    <row r="107" spans="1:4" x14ac:dyDescent="0.2">
      <c r="A107" t="s">
        <v>522</v>
      </c>
      <c r="B107" t="s">
        <v>523</v>
      </c>
    </row>
    <row r="108" spans="1:4" x14ac:dyDescent="0.2">
      <c r="A108" t="s">
        <v>551</v>
      </c>
      <c r="B108" t="s">
        <v>552</v>
      </c>
      <c r="C108" s="18" t="s">
        <v>1477</v>
      </c>
    </row>
    <row r="109" spans="1:4" x14ac:dyDescent="0.2">
      <c r="A109" t="s">
        <v>366</v>
      </c>
      <c r="B109" t="s">
        <v>1151</v>
      </c>
      <c r="C109" t="s">
        <v>1465</v>
      </c>
      <c r="D109" s="18" t="s">
        <v>1476</v>
      </c>
    </row>
    <row r="110" spans="1:4" x14ac:dyDescent="0.2">
      <c r="A110" t="s">
        <v>440</v>
      </c>
      <c r="B110" t="s">
        <v>1102</v>
      </c>
    </row>
    <row r="111" spans="1:4" x14ac:dyDescent="0.2">
      <c r="A111" t="s">
        <v>227</v>
      </c>
      <c r="B111" t="s">
        <v>228</v>
      </c>
    </row>
    <row r="112" spans="1:4" x14ac:dyDescent="0.2">
      <c r="A112" t="s">
        <v>665</v>
      </c>
      <c r="B112" t="s">
        <v>666</v>
      </c>
    </row>
    <row r="113" spans="1:3" x14ac:dyDescent="0.2">
      <c r="A113" t="s">
        <v>648</v>
      </c>
      <c r="B113" t="s">
        <v>1112</v>
      </c>
    </row>
    <row r="114" spans="1:3" x14ac:dyDescent="0.2">
      <c r="A114" t="s">
        <v>652</v>
      </c>
      <c r="B114" t="s">
        <v>653</v>
      </c>
    </row>
    <row r="115" spans="1:3" x14ac:dyDescent="0.2">
      <c r="A115" t="s">
        <v>271</v>
      </c>
      <c r="B115" t="s">
        <v>272</v>
      </c>
    </row>
    <row r="116" spans="1:3" x14ac:dyDescent="0.2">
      <c r="A116" t="s">
        <v>355</v>
      </c>
      <c r="B116" t="s">
        <v>1236</v>
      </c>
      <c r="C116" t="s">
        <v>356</v>
      </c>
    </row>
    <row r="117" spans="1:3" x14ac:dyDescent="0.2">
      <c r="A117" t="s">
        <v>571</v>
      </c>
      <c r="B117" t="s">
        <v>1152</v>
      </c>
    </row>
    <row r="118" spans="1:3" x14ac:dyDescent="0.2">
      <c r="A118" t="s">
        <v>281</v>
      </c>
      <c r="B118" t="s">
        <v>282</v>
      </c>
    </row>
    <row r="119" spans="1:3" x14ac:dyDescent="0.2">
      <c r="A119" t="s">
        <v>48</v>
      </c>
      <c r="B119" t="s">
        <v>49</v>
      </c>
    </row>
    <row r="120" spans="1:3" x14ac:dyDescent="0.2">
      <c r="A120" t="s">
        <v>238</v>
      </c>
      <c r="B120" t="s">
        <v>239</v>
      </c>
    </row>
    <row r="121" spans="1:3" x14ac:dyDescent="0.2">
      <c r="A121" t="s">
        <v>561</v>
      </c>
      <c r="B121" t="s">
        <v>1140</v>
      </c>
    </row>
    <row r="122" spans="1:3" x14ac:dyDescent="0.2">
      <c r="A122" t="s">
        <v>58</v>
      </c>
      <c r="B122" t="s">
        <v>59</v>
      </c>
    </row>
    <row r="123" spans="1:3" x14ac:dyDescent="0.2">
      <c r="A123" t="s">
        <v>542</v>
      </c>
      <c r="B123" t="s">
        <v>543</v>
      </c>
    </row>
    <row r="124" spans="1:3" x14ac:dyDescent="0.2">
      <c r="A124" t="s">
        <v>612</v>
      </c>
      <c r="B124" t="s">
        <v>1439</v>
      </c>
    </row>
    <row r="125" spans="1:3" x14ac:dyDescent="0.2">
      <c r="A125" t="s">
        <v>493</v>
      </c>
      <c r="B125" t="s">
        <v>494</v>
      </c>
    </row>
    <row r="126" spans="1:3" x14ac:dyDescent="0.2">
      <c r="A126" t="s">
        <v>637</v>
      </c>
      <c r="B126" t="s">
        <v>638</v>
      </c>
    </row>
    <row r="127" spans="1:3" x14ac:dyDescent="0.2">
      <c r="A127" t="s">
        <v>198</v>
      </c>
      <c r="B127" t="s">
        <v>199</v>
      </c>
    </row>
    <row r="128" spans="1:3" x14ac:dyDescent="0.2">
      <c r="A128" t="s">
        <v>243</v>
      </c>
      <c r="B128" t="s">
        <v>1096</v>
      </c>
    </row>
    <row r="129" spans="1:2" x14ac:dyDescent="0.2">
      <c r="A129" t="s">
        <v>24</v>
      </c>
      <c r="B129" t="s">
        <v>25</v>
      </c>
    </row>
    <row r="130" spans="1:2" x14ac:dyDescent="0.2">
      <c r="A130" t="s">
        <v>460</v>
      </c>
      <c r="B130" t="s">
        <v>461</v>
      </c>
    </row>
    <row r="131" spans="1:2" x14ac:dyDescent="0.2">
      <c r="A131" t="s">
        <v>538</v>
      </c>
      <c r="B131" t="s">
        <v>539</v>
      </c>
    </row>
    <row r="132" spans="1:2" x14ac:dyDescent="0.2">
      <c r="A132" t="s">
        <v>115</v>
      </c>
      <c r="B132" t="s">
        <v>116</v>
      </c>
    </row>
    <row r="133" spans="1:2" x14ac:dyDescent="0.2">
      <c r="A133" t="s">
        <v>448</v>
      </c>
      <c r="B133" t="s">
        <v>449</v>
      </c>
    </row>
    <row r="134" spans="1:2" x14ac:dyDescent="0.2">
      <c r="A134" t="s">
        <v>94</v>
      </c>
      <c r="B134" t="s">
        <v>95</v>
      </c>
    </row>
    <row r="135" spans="1:2" x14ac:dyDescent="0.2">
      <c r="A135" t="s">
        <v>484</v>
      </c>
      <c r="B135" t="s">
        <v>485</v>
      </c>
    </row>
    <row r="136" spans="1:2" x14ac:dyDescent="0.2">
      <c r="A136" t="s">
        <v>482</v>
      </c>
      <c r="B136" t="s">
        <v>483</v>
      </c>
    </row>
    <row r="137" spans="1:2" x14ac:dyDescent="0.2">
      <c r="A137" t="s">
        <v>559</v>
      </c>
      <c r="B137" t="s">
        <v>1133</v>
      </c>
    </row>
    <row r="138" spans="1:2" x14ac:dyDescent="0.2">
      <c r="A138" t="s">
        <v>593</v>
      </c>
      <c r="B138" t="s">
        <v>1122</v>
      </c>
    </row>
    <row r="139" spans="1:2" x14ac:dyDescent="0.2">
      <c r="A139" t="s">
        <v>88</v>
      </c>
      <c r="B139" t="s">
        <v>89</v>
      </c>
    </row>
    <row r="140" spans="1:2" x14ac:dyDescent="0.2">
      <c r="A140" t="s">
        <v>556</v>
      </c>
      <c r="B140" t="s">
        <v>557</v>
      </c>
    </row>
    <row r="141" spans="1:2" x14ac:dyDescent="0.2">
      <c r="A141" t="s">
        <v>72</v>
      </c>
      <c r="B141" t="s">
        <v>73</v>
      </c>
    </row>
    <row r="142" spans="1:2" x14ac:dyDescent="0.2">
      <c r="A142" t="s">
        <v>334</v>
      </c>
      <c r="B142" t="s">
        <v>335</v>
      </c>
    </row>
    <row r="143" spans="1:2" x14ac:dyDescent="0.2">
      <c r="A143" t="s">
        <v>499</v>
      </c>
      <c r="B143" t="s">
        <v>1440</v>
      </c>
    </row>
    <row r="144" spans="1:2" x14ac:dyDescent="0.2">
      <c r="A144" t="s">
        <v>540</v>
      </c>
      <c r="B144" t="s">
        <v>541</v>
      </c>
    </row>
    <row r="145" spans="1:4" x14ac:dyDescent="0.2">
      <c r="A145" t="s">
        <v>76</v>
      </c>
      <c r="B145" t="s">
        <v>993</v>
      </c>
      <c r="C145" t="s">
        <v>1463</v>
      </c>
      <c r="D145" t="s">
        <v>1471</v>
      </c>
    </row>
    <row r="146" spans="1:4" x14ac:dyDescent="0.2">
      <c r="A146" t="s">
        <v>41</v>
      </c>
      <c r="B146" t="s">
        <v>42</v>
      </c>
    </row>
    <row r="147" spans="1:4" x14ac:dyDescent="0.2">
      <c r="A147" t="s">
        <v>142</v>
      </c>
      <c r="B147" t="s">
        <v>946</v>
      </c>
    </row>
    <row r="148" spans="1:4" x14ac:dyDescent="0.2">
      <c r="A148" t="s">
        <v>111</v>
      </c>
      <c r="B148" t="s">
        <v>112</v>
      </c>
    </row>
    <row r="149" spans="1:4" x14ac:dyDescent="0.2">
      <c r="A149" t="s">
        <v>96</v>
      </c>
      <c r="B149" t="s">
        <v>97</v>
      </c>
    </row>
    <row r="150" spans="1:4" x14ac:dyDescent="0.2">
      <c r="A150" t="s">
        <v>177</v>
      </c>
      <c r="B150" t="s">
        <v>1076</v>
      </c>
      <c r="C150" t="s">
        <v>1286</v>
      </c>
      <c r="D150" t="s">
        <v>1453</v>
      </c>
    </row>
    <row r="151" spans="1:4" x14ac:dyDescent="0.2">
      <c r="A151" t="s">
        <v>46</v>
      </c>
      <c r="B151" t="s">
        <v>1441</v>
      </c>
    </row>
    <row r="152" spans="1:4" x14ac:dyDescent="0.2">
      <c r="A152" t="s">
        <v>144</v>
      </c>
      <c r="B152" t="s">
        <v>994</v>
      </c>
      <c r="C152" t="s">
        <v>146</v>
      </c>
    </row>
    <row r="153" spans="1:4" x14ac:dyDescent="0.2">
      <c r="A153" t="s">
        <v>210</v>
      </c>
      <c r="B153" t="s">
        <v>211</v>
      </c>
    </row>
    <row r="154" spans="1:4" x14ac:dyDescent="0.2">
      <c r="A154" t="s">
        <v>234</v>
      </c>
      <c r="B154" t="s">
        <v>1086</v>
      </c>
    </row>
    <row r="155" spans="1:4" x14ac:dyDescent="0.2">
      <c r="A155" t="s">
        <v>446</v>
      </c>
      <c r="B155" t="s">
        <v>447</v>
      </c>
    </row>
    <row r="156" spans="1:4" x14ac:dyDescent="0.2">
      <c r="A156" t="s">
        <v>278</v>
      </c>
      <c r="B156" t="s">
        <v>1046</v>
      </c>
      <c r="C156" s="6" t="s">
        <v>1454</v>
      </c>
    </row>
    <row r="157" spans="1:4" x14ac:dyDescent="0.2">
      <c r="A157" t="s">
        <v>297</v>
      </c>
      <c r="B157" t="s">
        <v>298</v>
      </c>
    </row>
    <row r="158" spans="1:4" x14ac:dyDescent="0.2">
      <c r="A158" t="s">
        <v>531</v>
      </c>
      <c r="B158" t="s">
        <v>532</v>
      </c>
    </row>
    <row r="159" spans="1:4" x14ac:dyDescent="0.2">
      <c r="A159" t="s">
        <v>349</v>
      </c>
      <c r="B159" t="s">
        <v>1034</v>
      </c>
    </row>
    <row r="160" spans="1:4" x14ac:dyDescent="0.2">
      <c r="A160" t="s">
        <v>329</v>
      </c>
      <c r="B160" t="s">
        <v>1442</v>
      </c>
    </row>
    <row r="161" spans="1:6" x14ac:dyDescent="0.2">
      <c r="A161" t="s">
        <v>358</v>
      </c>
      <c r="B161" t="s">
        <v>359</v>
      </c>
    </row>
    <row r="162" spans="1:6" x14ac:dyDescent="0.2">
      <c r="A162" t="s">
        <v>322</v>
      </c>
      <c r="B162" t="s">
        <v>1284</v>
      </c>
      <c r="C162" t="s">
        <v>1283</v>
      </c>
      <c r="D162" t="s">
        <v>939</v>
      </c>
      <c r="E162" t="s">
        <v>1455</v>
      </c>
      <c r="F162" t="s">
        <v>1456</v>
      </c>
    </row>
    <row r="163" spans="1:6" x14ac:dyDescent="0.2">
      <c r="A163" t="s">
        <v>401</v>
      </c>
      <c r="B163" t="s">
        <v>1443</v>
      </c>
      <c r="C163" t="s">
        <v>1473</v>
      </c>
    </row>
    <row r="164" spans="1:6" x14ac:dyDescent="0.2">
      <c r="A164" t="s">
        <v>337</v>
      </c>
      <c r="B164" t="s">
        <v>1002</v>
      </c>
    </row>
    <row r="165" spans="1:6" x14ac:dyDescent="0.2">
      <c r="A165" t="s">
        <v>588</v>
      </c>
      <c r="B165" t="s">
        <v>977</v>
      </c>
      <c r="C165" t="s">
        <v>1457</v>
      </c>
    </row>
    <row r="166" spans="1:6" x14ac:dyDescent="0.2">
      <c r="A166" t="s">
        <v>404</v>
      </c>
      <c r="B166" t="s">
        <v>405</v>
      </c>
    </row>
    <row r="167" spans="1:6" x14ac:dyDescent="0.2">
      <c r="A167" t="s">
        <v>385</v>
      </c>
      <c r="B167" t="s">
        <v>386</v>
      </c>
    </row>
    <row r="168" spans="1:6" x14ac:dyDescent="0.2">
      <c r="A168" t="s">
        <v>380</v>
      </c>
      <c r="B168" t="s">
        <v>941</v>
      </c>
    </row>
    <row r="169" spans="1:6" x14ac:dyDescent="0.2">
      <c r="A169" t="s">
        <v>394</v>
      </c>
      <c r="B169" t="s">
        <v>395</v>
      </c>
    </row>
    <row r="170" spans="1:6" x14ac:dyDescent="0.2">
      <c r="A170" t="s">
        <v>399</v>
      </c>
      <c r="B170" t="s">
        <v>1444</v>
      </c>
    </row>
    <row r="171" spans="1:6" x14ac:dyDescent="0.2">
      <c r="A171" t="s">
        <v>462</v>
      </c>
      <c r="B171" t="s">
        <v>943</v>
      </c>
      <c r="C171" s="5" t="s">
        <v>1464</v>
      </c>
    </row>
    <row r="172" spans="1:6" x14ac:dyDescent="0.2">
      <c r="A172" t="s">
        <v>468</v>
      </c>
      <c r="B172" t="s">
        <v>1012</v>
      </c>
    </row>
    <row r="173" spans="1:6" x14ac:dyDescent="0.2">
      <c r="A173" t="s">
        <v>14</v>
      </c>
      <c r="B173" t="s">
        <v>15</v>
      </c>
    </row>
    <row r="174" spans="1:6" x14ac:dyDescent="0.2">
      <c r="A174" t="s">
        <v>402</v>
      </c>
      <c r="B174" t="s">
        <v>403</v>
      </c>
      <c r="C174" t="s">
        <v>1462</v>
      </c>
      <c r="D174" t="s">
        <v>1474</v>
      </c>
      <c r="E174" t="s">
        <v>662</v>
      </c>
    </row>
    <row r="175" spans="1:6" x14ac:dyDescent="0.2">
      <c r="A175" t="s">
        <v>583</v>
      </c>
      <c r="B175" t="s">
        <v>1036</v>
      </c>
    </row>
    <row r="176" spans="1:6" x14ac:dyDescent="0.2">
      <c r="A176" t="s">
        <v>535</v>
      </c>
      <c r="B176" t="s">
        <v>536</v>
      </c>
    </row>
    <row r="177" spans="1:6" x14ac:dyDescent="0.2">
      <c r="A177" t="s">
        <v>555</v>
      </c>
      <c r="B177" t="s">
        <v>1064</v>
      </c>
      <c r="C177" t="s">
        <v>1472</v>
      </c>
    </row>
    <row r="178" spans="1:6" x14ac:dyDescent="0.2">
      <c r="A178" t="s">
        <v>181</v>
      </c>
      <c r="B178" t="s">
        <v>182</v>
      </c>
    </row>
    <row r="179" spans="1:6" x14ac:dyDescent="0.2">
      <c r="A179" t="s">
        <v>603</v>
      </c>
      <c r="B179" t="s">
        <v>604</v>
      </c>
      <c r="C179" t="s">
        <v>1475</v>
      </c>
    </row>
    <row r="180" spans="1:6" x14ac:dyDescent="0.2">
      <c r="A180" t="s">
        <v>598</v>
      </c>
      <c r="B180" t="s">
        <v>599</v>
      </c>
    </row>
    <row r="181" spans="1:6" x14ac:dyDescent="0.2">
      <c r="A181" t="s">
        <v>423</v>
      </c>
      <c r="B181" t="s">
        <v>1445</v>
      </c>
    </row>
    <row r="182" spans="1:6" x14ac:dyDescent="0.2">
      <c r="A182" t="s">
        <v>374</v>
      </c>
      <c r="B182" t="s">
        <v>1010</v>
      </c>
    </row>
    <row r="183" spans="1:6" x14ac:dyDescent="0.2">
      <c r="A183" t="s">
        <v>644</v>
      </c>
      <c r="B183" t="s">
        <v>645</v>
      </c>
    </row>
    <row r="184" spans="1:6" x14ac:dyDescent="0.2">
      <c r="A184" t="s">
        <v>657</v>
      </c>
      <c r="B184" t="s">
        <v>658</v>
      </c>
    </row>
    <row r="185" spans="1:6" x14ac:dyDescent="0.2">
      <c r="A185" t="s">
        <v>320</v>
      </c>
      <c r="B185" t="s">
        <v>982</v>
      </c>
      <c r="C185" t="s">
        <v>1461</v>
      </c>
      <c r="D185" t="s">
        <v>1458</v>
      </c>
      <c r="E185" t="s">
        <v>1459</v>
      </c>
      <c r="F185" t="s">
        <v>1460</v>
      </c>
    </row>
    <row r="186" spans="1:6" x14ac:dyDescent="0.2">
      <c r="A186" t="s">
        <v>101</v>
      </c>
      <c r="B186" t="s">
        <v>102</v>
      </c>
    </row>
    <row r="187" spans="1:6" x14ac:dyDescent="0.2">
      <c r="A187" t="s">
        <v>716</v>
      </c>
      <c r="B187" t="s">
        <v>1069</v>
      </c>
      <c r="C187" t="s">
        <v>1399</v>
      </c>
    </row>
    <row r="188" spans="1:6" x14ac:dyDescent="0.2">
      <c r="A188" t="s">
        <v>70</v>
      </c>
      <c r="B188" t="s">
        <v>71</v>
      </c>
    </row>
    <row r="189" spans="1:6" x14ac:dyDescent="0.2">
      <c r="A189" t="s">
        <v>33</v>
      </c>
      <c r="B189" t="s">
        <v>34</v>
      </c>
    </row>
    <row r="190" spans="1:6" x14ac:dyDescent="0.2">
      <c r="A190" t="s">
        <v>427</v>
      </c>
      <c r="B190" t="s">
        <v>428</v>
      </c>
    </row>
    <row r="191" spans="1:6" x14ac:dyDescent="0.2">
      <c r="A191" t="s">
        <v>84</v>
      </c>
      <c r="B191" t="s">
        <v>1020</v>
      </c>
    </row>
    <row r="192" spans="1:6" x14ac:dyDescent="0.2">
      <c r="A192" t="s">
        <v>79</v>
      </c>
      <c r="B192" t="s">
        <v>80</v>
      </c>
    </row>
    <row r="193" spans="1:4" x14ac:dyDescent="0.2">
      <c r="A193" t="s">
        <v>157</v>
      </c>
      <c r="B193" t="s">
        <v>158</v>
      </c>
    </row>
    <row r="194" spans="1:4" x14ac:dyDescent="0.2">
      <c r="A194" t="s">
        <v>419</v>
      </c>
      <c r="B194" t="s">
        <v>420</v>
      </c>
    </row>
    <row r="195" spans="1:4" x14ac:dyDescent="0.2">
      <c r="A195" t="s">
        <v>276</v>
      </c>
      <c r="B195" t="s">
        <v>277</v>
      </c>
    </row>
    <row r="196" spans="1:4" x14ac:dyDescent="0.2">
      <c r="A196" t="s">
        <v>617</v>
      </c>
      <c r="B196" t="s">
        <v>1446</v>
      </c>
    </row>
    <row r="197" spans="1:4" x14ac:dyDescent="0.2">
      <c r="A197" t="s">
        <v>607</v>
      </c>
      <c r="B197" t="s">
        <v>1025</v>
      </c>
    </row>
    <row r="198" spans="1:4" x14ac:dyDescent="0.2">
      <c r="A198" t="s">
        <v>667</v>
      </c>
      <c r="B198" t="s">
        <v>1013</v>
      </c>
    </row>
    <row r="199" spans="1:4" x14ac:dyDescent="0.2">
      <c r="A199" t="s">
        <v>150</v>
      </c>
      <c r="B199" t="s">
        <v>1447</v>
      </c>
      <c r="C199" t="s">
        <v>1451</v>
      </c>
      <c r="D199" t="s">
        <v>1452</v>
      </c>
    </row>
    <row r="200" spans="1:4" x14ac:dyDescent="0.2">
      <c r="A200" t="s">
        <v>346</v>
      </c>
      <c r="B200" t="s">
        <v>347</v>
      </c>
    </row>
    <row r="201" spans="1:4" x14ac:dyDescent="0.2">
      <c r="A201" t="s">
        <v>56</v>
      </c>
      <c r="B201" t="s">
        <v>1003</v>
      </c>
    </row>
    <row r="202" spans="1:4" x14ac:dyDescent="0.2">
      <c r="A202" t="s">
        <v>511</v>
      </c>
      <c r="B202" t="s">
        <v>512</v>
      </c>
    </row>
    <row r="203" spans="1:4" x14ac:dyDescent="0.2">
      <c r="A203" t="s">
        <v>438</v>
      </c>
      <c r="B203" t="s">
        <v>439</v>
      </c>
    </row>
    <row r="204" spans="1:4" x14ac:dyDescent="0.2">
      <c r="A204" t="s">
        <v>712</v>
      </c>
      <c r="B204" t="s">
        <v>998</v>
      </c>
      <c r="C204" t="s">
        <v>1000</v>
      </c>
    </row>
    <row r="205" spans="1:4" x14ac:dyDescent="0.2">
      <c r="A205" t="s">
        <v>584</v>
      </c>
      <c r="B205" t="s">
        <v>971</v>
      </c>
    </row>
    <row r="206" spans="1:4" x14ac:dyDescent="0.2">
      <c r="A206" t="s">
        <v>569</v>
      </c>
      <c r="B206" t="s">
        <v>973</v>
      </c>
    </row>
    <row r="207" spans="1:4" x14ac:dyDescent="0.2">
      <c r="A207" t="s">
        <v>325</v>
      </c>
      <c r="B207" t="s">
        <v>326</v>
      </c>
    </row>
    <row r="208" spans="1:4" x14ac:dyDescent="0.2">
      <c r="A208" t="s">
        <v>318</v>
      </c>
      <c r="B208" t="s">
        <v>947</v>
      </c>
    </row>
    <row r="209" spans="1:3" x14ac:dyDescent="0.2">
      <c r="A209" t="s">
        <v>22</v>
      </c>
      <c r="B209" t="s">
        <v>23</v>
      </c>
    </row>
    <row r="210" spans="1:3" x14ac:dyDescent="0.2">
      <c r="A210" t="s">
        <v>65</v>
      </c>
      <c r="B210" t="s">
        <v>950</v>
      </c>
    </row>
    <row r="211" spans="1:3" x14ac:dyDescent="0.2">
      <c r="A211" t="s">
        <v>289</v>
      </c>
      <c r="B211" t="s">
        <v>290</v>
      </c>
    </row>
    <row r="212" spans="1:3" x14ac:dyDescent="0.2">
      <c r="A212" t="s">
        <v>62</v>
      </c>
      <c r="B212" t="s">
        <v>63</v>
      </c>
    </row>
    <row r="213" spans="1:3" x14ac:dyDescent="0.2">
      <c r="A213" t="s">
        <v>250</v>
      </c>
      <c r="B213" t="s">
        <v>251</v>
      </c>
    </row>
    <row r="214" spans="1:3" x14ac:dyDescent="0.2">
      <c r="A214" t="s">
        <v>340</v>
      </c>
      <c r="B214" t="s">
        <v>1043</v>
      </c>
    </row>
    <row r="215" spans="1:3" x14ac:dyDescent="0.2">
      <c r="A215" t="s">
        <v>391</v>
      </c>
      <c r="B215" t="s">
        <v>1008</v>
      </c>
    </row>
    <row r="216" spans="1:3" x14ac:dyDescent="0.2">
      <c r="A216" t="s">
        <v>627</v>
      </c>
      <c r="B216" t="s">
        <v>926</v>
      </c>
    </row>
    <row r="217" spans="1:3" x14ac:dyDescent="0.2">
      <c r="A217" t="s">
        <v>1223</v>
      </c>
      <c r="B217" t="s">
        <v>1397</v>
      </c>
      <c r="C217" t="s">
        <v>968</v>
      </c>
    </row>
    <row r="218" spans="1:3" x14ac:dyDescent="0.2">
      <c r="A218" t="s">
        <v>591</v>
      </c>
      <c r="B218" t="s">
        <v>1085</v>
      </c>
    </row>
    <row r="219" spans="1:3" x14ac:dyDescent="0.2">
      <c r="A219" t="s">
        <v>629</v>
      </c>
      <c r="B219" t="s">
        <v>630</v>
      </c>
    </row>
    <row r="220" spans="1:3" x14ac:dyDescent="0.2">
      <c r="A220" t="s">
        <v>578</v>
      </c>
      <c r="B220" t="s">
        <v>1027</v>
      </c>
    </row>
    <row r="221" spans="1:3" x14ac:dyDescent="0.2">
      <c r="A221" t="s">
        <v>473</v>
      </c>
      <c r="B221" t="s">
        <v>474</v>
      </c>
    </row>
    <row r="222" spans="1:3" x14ac:dyDescent="0.2">
      <c r="A222" t="s">
        <v>622</v>
      </c>
      <c r="B222" t="s">
        <v>623</v>
      </c>
    </row>
    <row r="223" spans="1:3" x14ac:dyDescent="0.2">
      <c r="A223" t="s">
        <v>470</v>
      </c>
      <c r="B223" t="s">
        <v>471</v>
      </c>
    </row>
    <row r="224" spans="1:3" x14ac:dyDescent="0.2">
      <c r="A224" t="s">
        <v>478</v>
      </c>
      <c r="B224" t="s">
        <v>479</v>
      </c>
    </row>
    <row r="225" spans="1:2" x14ac:dyDescent="0.2">
      <c r="A225" t="s">
        <v>207</v>
      </c>
      <c r="B225" t="s">
        <v>208</v>
      </c>
    </row>
    <row r="226" spans="1:2" x14ac:dyDescent="0.2">
      <c r="A226" t="s">
        <v>573</v>
      </c>
      <c r="B226" t="s">
        <v>989</v>
      </c>
    </row>
    <row r="227" spans="1:2" x14ac:dyDescent="0.2">
      <c r="A227" t="s">
        <v>586</v>
      </c>
      <c r="B227" t="s">
        <v>1040</v>
      </c>
    </row>
    <row r="228" spans="1:2" x14ac:dyDescent="0.2">
      <c r="A228" t="s">
        <v>590</v>
      </c>
      <c r="B228" t="s">
        <v>984</v>
      </c>
    </row>
    <row r="229" spans="1:2" x14ac:dyDescent="0.2">
      <c r="A229" t="s">
        <v>245</v>
      </c>
      <c r="B229" t="s">
        <v>246</v>
      </c>
    </row>
    <row r="230" spans="1:2" x14ac:dyDescent="0.2">
      <c r="A230" t="s">
        <v>129</v>
      </c>
      <c r="B230" t="s">
        <v>130</v>
      </c>
    </row>
    <row r="231" spans="1:2" x14ac:dyDescent="0.2">
      <c r="A231" t="s">
        <v>254</v>
      </c>
      <c r="B231" t="s">
        <v>255</v>
      </c>
    </row>
    <row r="232" spans="1:2" x14ac:dyDescent="0.2">
      <c r="A232" t="s">
        <v>505</v>
      </c>
      <c r="B232" t="s">
        <v>506</v>
      </c>
    </row>
    <row r="233" spans="1:2" x14ac:dyDescent="0.2">
      <c r="A233" t="s">
        <v>661</v>
      </c>
      <c r="B233" t="s">
        <v>662</v>
      </c>
    </row>
    <row r="234" spans="1:2" x14ac:dyDescent="0.2">
      <c r="A234" t="s">
        <v>600</v>
      </c>
      <c r="B234" t="s">
        <v>601</v>
      </c>
    </row>
    <row r="235" spans="1:2" x14ac:dyDescent="0.2">
      <c r="A235" t="s">
        <v>508</v>
      </c>
      <c r="B235" t="s">
        <v>509</v>
      </c>
    </row>
    <row r="236" spans="1:2" x14ac:dyDescent="0.2">
      <c r="A236" t="s">
        <v>31</v>
      </c>
      <c r="B236" t="s">
        <v>32</v>
      </c>
    </row>
    <row r="237" spans="1:2" x14ac:dyDescent="0.2">
      <c r="A237" t="s">
        <v>19</v>
      </c>
      <c r="B237" t="s">
        <v>20</v>
      </c>
    </row>
    <row r="238" spans="1:2" x14ac:dyDescent="0.2">
      <c r="A238" t="s">
        <v>452</v>
      </c>
      <c r="B238" t="s">
        <v>453</v>
      </c>
    </row>
    <row r="239" spans="1:2" x14ac:dyDescent="0.2">
      <c r="A239" t="s">
        <v>174</v>
      </c>
      <c r="B239" t="s">
        <v>175</v>
      </c>
    </row>
    <row r="240" spans="1:2" x14ac:dyDescent="0.2">
      <c r="A240" t="s">
        <v>655</v>
      </c>
      <c r="B240" t="s">
        <v>656</v>
      </c>
    </row>
    <row r="241" spans="1:3" x14ac:dyDescent="0.2">
      <c r="A241" t="s">
        <v>53</v>
      </c>
      <c r="B241" t="s">
        <v>54</v>
      </c>
    </row>
    <row r="242" spans="1:3" x14ac:dyDescent="0.2">
      <c r="A242" t="s">
        <v>594</v>
      </c>
      <c r="B242" t="s">
        <v>990</v>
      </c>
    </row>
    <row r="243" spans="1:3" x14ac:dyDescent="0.2">
      <c r="A243" t="s">
        <v>457</v>
      </c>
      <c r="B243" t="s">
        <v>458</v>
      </c>
    </row>
    <row r="244" spans="1:3" x14ac:dyDescent="0.2">
      <c r="A244" t="s">
        <v>413</v>
      </c>
      <c r="B244" t="s">
        <v>414</v>
      </c>
    </row>
    <row r="245" spans="1:3" x14ac:dyDescent="0.2">
      <c r="A245" t="s">
        <v>263</v>
      </c>
      <c r="B245" t="s">
        <v>264</v>
      </c>
    </row>
    <row r="246" spans="1:3" x14ac:dyDescent="0.2">
      <c r="A246" t="s">
        <v>147</v>
      </c>
      <c r="B246" t="s">
        <v>148</v>
      </c>
    </row>
    <row r="247" spans="1:3" x14ac:dyDescent="0.2">
      <c r="A247" t="s">
        <v>162</v>
      </c>
      <c r="B247" t="s">
        <v>163</v>
      </c>
    </row>
    <row r="248" spans="1:3" x14ac:dyDescent="0.2">
      <c r="A248" t="s">
        <v>165</v>
      </c>
      <c r="B248" t="s">
        <v>166</v>
      </c>
    </row>
    <row r="249" spans="1:3" x14ac:dyDescent="0.2">
      <c r="A249" t="s">
        <v>475</v>
      </c>
      <c r="B249" t="s">
        <v>1055</v>
      </c>
    </row>
    <row r="250" spans="1:3" x14ac:dyDescent="0.2">
      <c r="A250" t="s">
        <v>108</v>
      </c>
      <c r="B250" t="s">
        <v>109</v>
      </c>
    </row>
    <row r="251" spans="1:3" x14ac:dyDescent="0.2">
      <c r="A251" t="s">
        <v>168</v>
      </c>
      <c r="B251" t="s">
        <v>169</v>
      </c>
    </row>
    <row r="252" spans="1:3" x14ac:dyDescent="0.2">
      <c r="A252" t="s">
        <v>37</v>
      </c>
      <c r="B252" t="s">
        <v>38</v>
      </c>
    </row>
    <row r="253" spans="1:3" x14ac:dyDescent="0.2">
      <c r="A253" s="2" t="s">
        <v>1487</v>
      </c>
      <c r="B253" t="s">
        <v>1485</v>
      </c>
      <c r="C253" t="s">
        <v>1489</v>
      </c>
    </row>
    <row r="255" spans="1:3" x14ac:dyDescent="0.2">
      <c r="A255" t="s">
        <v>1287</v>
      </c>
    </row>
    <row r="256" spans="1:3" x14ac:dyDescent="0.2">
      <c r="A256" t="s">
        <v>340</v>
      </c>
      <c r="B256" t="s">
        <v>1043</v>
      </c>
      <c r="C256" s="2" t="s">
        <v>342</v>
      </c>
    </row>
    <row r="257" spans="1:3" x14ac:dyDescent="0.2">
      <c r="A257" t="s">
        <v>391</v>
      </c>
      <c r="B257" t="s">
        <v>1008</v>
      </c>
      <c r="C257" s="2" t="s">
        <v>393</v>
      </c>
    </row>
    <row r="258" spans="1:3" x14ac:dyDescent="0.2">
      <c r="A258" t="s">
        <v>125</v>
      </c>
      <c r="B258" t="s">
        <v>871</v>
      </c>
      <c r="C258" s="2" t="s">
        <v>128</v>
      </c>
    </row>
    <row r="259" spans="1:3" x14ac:dyDescent="0.2">
      <c r="A259" t="s">
        <v>564</v>
      </c>
      <c r="B259" t="s">
        <v>812</v>
      </c>
      <c r="C259" s="2" t="s">
        <v>565</v>
      </c>
    </row>
    <row r="260" spans="1:3" x14ac:dyDescent="0.2">
      <c r="A260" t="s">
        <v>263</v>
      </c>
      <c r="B260" t="s">
        <v>1566</v>
      </c>
      <c r="C260" t="s">
        <v>264</v>
      </c>
    </row>
    <row r="261" spans="1:3" x14ac:dyDescent="0.2">
      <c r="A261" t="s">
        <v>265</v>
      </c>
      <c r="B261" t="s">
        <v>1567</v>
      </c>
      <c r="C261" t="s">
        <v>264</v>
      </c>
    </row>
    <row r="262" spans="1:3" x14ac:dyDescent="0.2">
      <c r="A262" t="s">
        <v>358</v>
      </c>
      <c r="B262" t="s">
        <v>1574</v>
      </c>
      <c r="C262" t="s">
        <v>359</v>
      </c>
    </row>
    <row r="263" spans="1:3" x14ac:dyDescent="0.2">
      <c r="A263" t="s">
        <v>142</v>
      </c>
      <c r="B263" t="s">
        <v>1575</v>
      </c>
      <c r="C263" t="s">
        <v>1576</v>
      </c>
    </row>
  </sheetData>
  <sortState ref="A2:D86">
    <sortCondition ref="B2:B86"/>
  </sortState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42B09-0D5C-49F4-9B43-3A4A87A56B43}">
  <dimension ref="A1:O264"/>
  <sheetViews>
    <sheetView topLeftCell="A87" workbookViewId="0">
      <selection activeCell="G266" sqref="G266"/>
    </sheetView>
  </sheetViews>
  <sheetFormatPr defaultRowHeight="12.75" x14ac:dyDescent="0.2"/>
  <cols>
    <col min="1" max="1" width="6.42578125" bestFit="1" customWidth="1"/>
    <col min="2" max="2" width="32" bestFit="1" customWidth="1"/>
    <col min="3" max="3" width="12.140625" bestFit="1" customWidth="1"/>
    <col min="4" max="4" width="13.28515625" customWidth="1"/>
    <col min="5" max="6" width="11.42578125" bestFit="1" customWidth="1"/>
  </cols>
  <sheetData>
    <row r="1" spans="1:15" s="3" customFormat="1" ht="25.15" customHeight="1" x14ac:dyDescent="0.2">
      <c r="A1" s="4" t="s">
        <v>768</v>
      </c>
      <c r="B1" s="4" t="s">
        <v>767</v>
      </c>
      <c r="C1" s="4" t="s">
        <v>1581</v>
      </c>
      <c r="D1" s="4" t="s">
        <v>1517</v>
      </c>
      <c r="E1" s="4" t="s">
        <v>730</v>
      </c>
      <c r="F1" s="4" t="s">
        <v>731</v>
      </c>
      <c r="G1" s="4" t="s">
        <v>721</v>
      </c>
      <c r="H1" s="4" t="s">
        <v>722</v>
      </c>
      <c r="I1" s="4" t="s">
        <v>723</v>
      </c>
      <c r="J1" s="4" t="s">
        <v>724</v>
      </c>
      <c r="K1" s="4" t="s">
        <v>725</v>
      </c>
      <c r="L1" s="4" t="s">
        <v>726</v>
      </c>
      <c r="M1" s="4" t="s">
        <v>727</v>
      </c>
      <c r="N1" s="4" t="s">
        <v>728</v>
      </c>
      <c r="O1" s="4" t="s">
        <v>729</v>
      </c>
    </row>
    <row r="2" spans="1:15" x14ac:dyDescent="0.2">
      <c r="A2" s="1" t="s">
        <v>499</v>
      </c>
      <c r="B2" s="1" t="s">
        <v>1440</v>
      </c>
      <c r="C2" s="1" t="s" vm="4">
        <v>1368</v>
      </c>
      <c r="D2" s="1" t="s" vm="4">
        <v>1368</v>
      </c>
      <c r="E2" s="1" t="s" vm="4">
        <v>1368</v>
      </c>
      <c r="F2" s="1" t="s">
        <v>1371</v>
      </c>
      <c r="G2" s="1" t="s">
        <v>1371</v>
      </c>
      <c r="H2" s="1" t="s">
        <v>1371</v>
      </c>
      <c r="I2" s="1" t="s">
        <v>1371</v>
      </c>
      <c r="J2" s="1" t="s">
        <v>1371</v>
      </c>
      <c r="K2" s="1" t="s">
        <v>1371</v>
      </c>
      <c r="L2" s="1" t="s">
        <v>1371</v>
      </c>
      <c r="M2" s="1" t="s">
        <v>1370</v>
      </c>
      <c r="N2" s="1" t="s">
        <v>1370</v>
      </c>
      <c r="O2" s="1" t="s">
        <v>1370</v>
      </c>
    </row>
    <row r="3" spans="1:15" x14ac:dyDescent="0.2">
      <c r="A3" s="1" t="s">
        <v>576</v>
      </c>
      <c r="B3" s="1" t="s">
        <v>872</v>
      </c>
      <c r="C3" s="1" t="s" vm="59">
        <v>1368</v>
      </c>
      <c r="D3" s="1" t="s" vm="59">
        <v>1368</v>
      </c>
      <c r="E3" s="1" t="s" vm="59">
        <v>1368</v>
      </c>
      <c r="F3" s="1" t="s">
        <v>1371</v>
      </c>
      <c r="G3" s="1" t="s">
        <v>1371</v>
      </c>
      <c r="H3" s="1" t="s">
        <v>1371</v>
      </c>
      <c r="I3" s="1" t="s">
        <v>1371</v>
      </c>
      <c r="J3" s="1" t="s">
        <v>1371</v>
      </c>
      <c r="K3" s="1" t="s">
        <v>1371</v>
      </c>
      <c r="L3" s="1" t="s">
        <v>1371</v>
      </c>
      <c r="M3" s="1" t="s">
        <v>1370</v>
      </c>
      <c r="N3" s="1" t="s">
        <v>1370</v>
      </c>
      <c r="O3" s="1" t="s">
        <v>1370</v>
      </c>
    </row>
    <row r="4" spans="1:15" x14ac:dyDescent="0.2">
      <c r="A4" s="1" t="s">
        <v>101</v>
      </c>
      <c r="B4" s="1" t="s">
        <v>102</v>
      </c>
      <c r="C4" s="1" t="s" vm="56">
        <v>1368</v>
      </c>
      <c r="D4" s="1" t="s" vm="56">
        <v>1368</v>
      </c>
      <c r="E4" s="1" t="s" vm="56">
        <v>1368</v>
      </c>
      <c r="F4" s="1" t="s">
        <v>1371</v>
      </c>
      <c r="G4" s="1" t="s">
        <v>1371</v>
      </c>
      <c r="H4" s="1" t="s">
        <v>1371</v>
      </c>
      <c r="I4" s="1" t="s">
        <v>1371</v>
      </c>
      <c r="J4" s="1" t="s">
        <v>1371</v>
      </c>
      <c r="K4" s="1" t="s">
        <v>1371</v>
      </c>
      <c r="L4" s="1" t="s">
        <v>1371</v>
      </c>
      <c r="M4" s="1" t="s">
        <v>1370</v>
      </c>
      <c r="N4" s="1" t="s">
        <v>1370</v>
      </c>
      <c r="O4" s="1" t="s">
        <v>1370</v>
      </c>
    </row>
    <row r="5" spans="1:15" x14ac:dyDescent="0.2">
      <c r="A5" s="1" t="s">
        <v>205</v>
      </c>
      <c r="B5" s="1" t="s">
        <v>1436</v>
      </c>
      <c r="C5" s="1" t="s" vm="6">
        <v>1368</v>
      </c>
      <c r="D5" s="1" t="s" vm="6">
        <v>1368</v>
      </c>
      <c r="E5" s="1" t="s" vm="6">
        <v>1368</v>
      </c>
      <c r="F5" s="1" t="s">
        <v>1371</v>
      </c>
      <c r="G5" s="1" t="s">
        <v>1371</v>
      </c>
      <c r="H5" s="1" t="s">
        <v>1371</v>
      </c>
      <c r="I5" s="1" t="s">
        <v>1371</v>
      </c>
      <c r="J5" s="1" t="s">
        <v>1371</v>
      </c>
      <c r="K5" s="1" t="s">
        <v>1371</v>
      </c>
      <c r="L5" s="1" t="s">
        <v>1370</v>
      </c>
      <c r="M5" s="1" t="s">
        <v>1370</v>
      </c>
      <c r="N5" s="1" t="s">
        <v>1370</v>
      </c>
      <c r="O5" s="1" t="s">
        <v>1370</v>
      </c>
    </row>
    <row r="6" spans="1:15" x14ac:dyDescent="0.2">
      <c r="A6" s="1" t="s">
        <v>214</v>
      </c>
      <c r="B6" s="1" t="s">
        <v>215</v>
      </c>
      <c r="C6" s="1" t="s" vm="3">
        <v>1368</v>
      </c>
      <c r="D6" s="1" t="s" vm="3">
        <v>1368</v>
      </c>
      <c r="E6" s="1" t="s" vm="3">
        <v>1368</v>
      </c>
      <c r="F6" s="1" t="s">
        <v>1371</v>
      </c>
      <c r="G6" s="1" t="s">
        <v>1371</v>
      </c>
      <c r="H6" s="1" t="s">
        <v>1371</v>
      </c>
      <c r="I6" s="1" t="s">
        <v>1371</v>
      </c>
      <c r="J6" s="1" t="s">
        <v>1371</v>
      </c>
      <c r="K6" s="1" t="s">
        <v>1371</v>
      </c>
      <c r="L6" s="1" t="s">
        <v>1370</v>
      </c>
      <c r="M6" s="1" t="s">
        <v>1370</v>
      </c>
      <c r="N6" s="1" t="s">
        <v>1370</v>
      </c>
      <c r="O6" s="1" t="s">
        <v>1370</v>
      </c>
    </row>
    <row r="7" spans="1:15" x14ac:dyDescent="0.2">
      <c r="A7" s="1" t="s">
        <v>92</v>
      </c>
      <c r="B7" s="1" t="s">
        <v>93</v>
      </c>
      <c r="C7" s="1" t="s" vm="16">
        <v>1368</v>
      </c>
      <c r="D7" s="1" t="s" vm="16">
        <v>1368</v>
      </c>
      <c r="E7" s="1" t="s" vm="16">
        <v>1368</v>
      </c>
      <c r="F7" s="1" t="s">
        <v>1371</v>
      </c>
      <c r="G7" s="1" t="s">
        <v>1371</v>
      </c>
      <c r="H7" s="1" t="s">
        <v>1371</v>
      </c>
      <c r="I7" s="1" t="s">
        <v>1371</v>
      </c>
      <c r="J7" s="1" t="s">
        <v>1371</v>
      </c>
      <c r="K7" s="1" t="s">
        <v>1371</v>
      </c>
      <c r="L7" s="1" t="s">
        <v>1370</v>
      </c>
      <c r="M7" s="1" t="s">
        <v>1370</v>
      </c>
      <c r="N7" s="1" t="s">
        <v>1370</v>
      </c>
      <c r="O7" s="1" t="s">
        <v>1370</v>
      </c>
    </row>
    <row r="8" spans="1:15" x14ac:dyDescent="0.2">
      <c r="A8" s="1" t="s">
        <v>242</v>
      </c>
      <c r="B8" s="1" t="s">
        <v>1437</v>
      </c>
      <c r="C8" s="1" t="s" vm="17">
        <v>1368</v>
      </c>
      <c r="D8" s="1" t="s" vm="17">
        <v>1368</v>
      </c>
      <c r="E8" s="1" t="s" vm="17">
        <v>1368</v>
      </c>
      <c r="F8" s="1" t="s">
        <v>1371</v>
      </c>
      <c r="G8" s="1" t="s">
        <v>1371</v>
      </c>
      <c r="H8" s="1" t="s">
        <v>1371</v>
      </c>
      <c r="I8" s="1" t="s">
        <v>1371</v>
      </c>
      <c r="J8" s="1" t="s">
        <v>1371</v>
      </c>
      <c r="K8" s="1" t="s">
        <v>1371</v>
      </c>
      <c r="L8" s="1" t="s">
        <v>1370</v>
      </c>
      <c r="M8" s="1" t="s">
        <v>1370</v>
      </c>
      <c r="N8" s="1" t="s">
        <v>1370</v>
      </c>
      <c r="O8" s="1" t="s">
        <v>1370</v>
      </c>
    </row>
    <row r="9" spans="1:15" x14ac:dyDescent="0.2">
      <c r="A9" s="1" t="s">
        <v>7</v>
      </c>
      <c r="B9" s="1" t="s">
        <v>8</v>
      </c>
      <c r="C9" s="1" t="s" vm="181">
        <v>1368</v>
      </c>
      <c r="D9" s="1" t="s" vm="181">
        <v>1368</v>
      </c>
      <c r="E9" s="1" t="s" vm="181">
        <v>1368</v>
      </c>
      <c r="F9" s="1" t="s">
        <v>1371</v>
      </c>
      <c r="G9" s="1" t="s">
        <v>1371</v>
      </c>
      <c r="H9" s="1" t="s">
        <v>1371</v>
      </c>
      <c r="I9" s="1" t="s">
        <v>1371</v>
      </c>
      <c r="J9" s="1" t="s">
        <v>1371</v>
      </c>
      <c r="K9" s="1" t="s">
        <v>1371</v>
      </c>
      <c r="L9" s="1" t="s">
        <v>1370</v>
      </c>
      <c r="M9" s="1" t="s">
        <v>1370</v>
      </c>
      <c r="N9" s="1" t="s">
        <v>1370</v>
      </c>
      <c r="O9" s="1" t="s">
        <v>1370</v>
      </c>
    </row>
    <row r="10" spans="1:15" x14ac:dyDescent="0.2">
      <c r="A10" s="1" t="s">
        <v>566</v>
      </c>
      <c r="B10" s="1" t="s">
        <v>780</v>
      </c>
      <c r="C10" s="1" t="s" vm="5">
        <v>1368</v>
      </c>
      <c r="D10" s="1" t="s" vm="5">
        <v>1368</v>
      </c>
      <c r="E10" s="1" t="s" vm="5">
        <v>1368</v>
      </c>
      <c r="F10" s="1" t="s">
        <v>1371</v>
      </c>
      <c r="G10" s="1" t="s">
        <v>1371</v>
      </c>
      <c r="H10" s="1" t="s">
        <v>1371</v>
      </c>
      <c r="I10" s="1" t="s">
        <v>1371</v>
      </c>
      <c r="J10" s="1" t="s">
        <v>1371</v>
      </c>
      <c r="K10" s="1" t="s">
        <v>1371</v>
      </c>
      <c r="L10" s="1" t="s">
        <v>1370</v>
      </c>
      <c r="M10" s="1" t="s">
        <v>1370</v>
      </c>
      <c r="N10" s="1" t="s">
        <v>1370</v>
      </c>
      <c r="O10" s="1" t="s">
        <v>1370</v>
      </c>
    </row>
    <row r="11" spans="1:15" x14ac:dyDescent="0.2">
      <c r="A11" s="1" t="s">
        <v>46</v>
      </c>
      <c r="B11" s="1" t="s">
        <v>1441</v>
      </c>
      <c r="C11" s="1" t="s" vm="12">
        <v>1368</v>
      </c>
      <c r="D11" s="1" t="s" vm="12">
        <v>1368</v>
      </c>
      <c r="E11" s="1" t="s" vm="12">
        <v>1368</v>
      </c>
      <c r="F11" s="1" t="s">
        <v>1371</v>
      </c>
      <c r="G11" s="1" t="s">
        <v>1371</v>
      </c>
      <c r="H11" s="1" t="s">
        <v>1371</v>
      </c>
      <c r="I11" s="1" t="s">
        <v>1371</v>
      </c>
      <c r="J11" s="1" t="s">
        <v>1371</v>
      </c>
      <c r="K11" s="1" t="s">
        <v>1371</v>
      </c>
      <c r="L11" s="1" t="s">
        <v>1370</v>
      </c>
      <c r="M11" s="1" t="s">
        <v>1370</v>
      </c>
      <c r="N11" s="1" t="s">
        <v>1370</v>
      </c>
      <c r="O11" s="1" t="s">
        <v>1370</v>
      </c>
    </row>
    <row r="12" spans="1:15" x14ac:dyDescent="0.2">
      <c r="A12" s="1" t="s">
        <v>284</v>
      </c>
      <c r="B12" s="1" t="s">
        <v>285</v>
      </c>
      <c r="C12" s="1" t="s" vm="86">
        <v>1368</v>
      </c>
      <c r="D12" s="1" t="s" vm="86">
        <v>1368</v>
      </c>
      <c r="E12" s="1" t="s" vm="86">
        <v>1368</v>
      </c>
      <c r="F12" s="1" t="s">
        <v>1371</v>
      </c>
      <c r="G12" s="1" t="s">
        <v>1371</v>
      </c>
      <c r="H12" s="1" t="s">
        <v>1371</v>
      </c>
      <c r="I12" s="1" t="s">
        <v>1371</v>
      </c>
      <c r="J12" s="1" t="s">
        <v>1371</v>
      </c>
      <c r="K12" s="1" t="s">
        <v>1371</v>
      </c>
      <c r="L12" s="1" t="s">
        <v>1370</v>
      </c>
      <c r="M12" s="1" t="s">
        <v>1370</v>
      </c>
      <c r="N12" s="1" t="s">
        <v>1370</v>
      </c>
      <c r="O12" s="1" t="s">
        <v>1370</v>
      </c>
    </row>
    <row r="13" spans="1:15" x14ac:dyDescent="0.2">
      <c r="A13" s="1" t="s">
        <v>14</v>
      </c>
      <c r="B13" s="1" t="s">
        <v>15</v>
      </c>
      <c r="C13" s="1" t="s" vm="97">
        <v>1368</v>
      </c>
      <c r="D13" s="1" t="s" vm="97">
        <v>1368</v>
      </c>
      <c r="E13" s="1" t="s" vm="97">
        <v>1368</v>
      </c>
      <c r="F13" s="1" t="s">
        <v>1371</v>
      </c>
      <c r="G13" s="1" t="s">
        <v>1371</v>
      </c>
      <c r="H13" s="1" t="s">
        <v>1371</v>
      </c>
      <c r="I13" s="1" t="s">
        <v>1371</v>
      </c>
      <c r="J13" s="1" t="s">
        <v>1371</v>
      </c>
      <c r="K13" s="1" t="s">
        <v>1371</v>
      </c>
      <c r="L13" s="1" t="s">
        <v>1370</v>
      </c>
      <c r="M13" s="1" t="s">
        <v>1370</v>
      </c>
      <c r="N13" s="1" t="s">
        <v>1370</v>
      </c>
      <c r="O13" s="1" t="s">
        <v>1370</v>
      </c>
    </row>
    <row r="14" spans="1:15" x14ac:dyDescent="0.2">
      <c r="A14" s="1" t="s">
        <v>306</v>
      </c>
      <c r="B14" s="1" t="s">
        <v>307</v>
      </c>
      <c r="C14" s="1" t="s" vm="112">
        <v>1368</v>
      </c>
      <c r="D14" s="1" t="s" vm="112">
        <v>1368</v>
      </c>
      <c r="E14" s="1" t="s" vm="112">
        <v>1368</v>
      </c>
      <c r="F14" s="1" t="s">
        <v>1371</v>
      </c>
      <c r="G14" s="1" t="s">
        <v>1371</v>
      </c>
      <c r="H14" s="1" t="s">
        <v>1371</v>
      </c>
      <c r="I14" s="1" t="s">
        <v>1371</v>
      </c>
      <c r="J14" s="1" t="s">
        <v>1371</v>
      </c>
      <c r="K14" s="1" t="s">
        <v>1371</v>
      </c>
      <c r="L14" s="1" t="s">
        <v>1370</v>
      </c>
      <c r="M14" s="1" t="s">
        <v>1370</v>
      </c>
      <c r="N14" s="1" t="s">
        <v>1370</v>
      </c>
      <c r="O14" s="1" t="s">
        <v>1370</v>
      </c>
    </row>
    <row r="15" spans="1:15" x14ac:dyDescent="0.2">
      <c r="A15" s="1" t="s">
        <v>355</v>
      </c>
      <c r="B15" s="1" t="s">
        <v>1236</v>
      </c>
      <c r="C15" s="1" t="s" vm="62">
        <v>1368</v>
      </c>
      <c r="D15" s="1" t="s" vm="62">
        <v>1368</v>
      </c>
      <c r="E15" s="1" t="s" vm="62">
        <v>1368</v>
      </c>
      <c r="F15" s="1" t="s">
        <v>1371</v>
      </c>
      <c r="G15" s="1" t="s">
        <v>1371</v>
      </c>
      <c r="H15" s="1" t="s">
        <v>1371</v>
      </c>
      <c r="I15" s="1" t="s">
        <v>1371</v>
      </c>
      <c r="J15" s="1" t="s">
        <v>1371</v>
      </c>
      <c r="K15" s="1" t="s">
        <v>1371</v>
      </c>
      <c r="L15" s="1" t="s">
        <v>1370</v>
      </c>
      <c r="M15" s="1" t="s">
        <v>1370</v>
      </c>
      <c r="N15" s="1" t="s">
        <v>1370</v>
      </c>
      <c r="O15" s="1" t="s">
        <v>1370</v>
      </c>
    </row>
    <row r="16" spans="1:15" x14ac:dyDescent="0.2">
      <c r="A16" s="1" t="s">
        <v>79</v>
      </c>
      <c r="B16" s="1" t="s">
        <v>80</v>
      </c>
      <c r="C16" s="1" t="s" vm="64">
        <v>1368</v>
      </c>
      <c r="D16" s="1" t="s" vm="64">
        <v>1368</v>
      </c>
      <c r="E16" s="1" t="s" vm="64">
        <v>1368</v>
      </c>
      <c r="F16" s="1" t="s">
        <v>1371</v>
      </c>
      <c r="G16" s="1" t="s">
        <v>1371</v>
      </c>
      <c r="H16" s="1" t="s">
        <v>1371</v>
      </c>
      <c r="I16" s="1" t="s">
        <v>1371</v>
      </c>
      <c r="J16" s="1" t="s">
        <v>1371</v>
      </c>
      <c r="K16" s="1" t="s">
        <v>1371</v>
      </c>
      <c r="L16" s="1" t="s">
        <v>1370</v>
      </c>
      <c r="M16" s="1" t="s">
        <v>1370</v>
      </c>
      <c r="N16" s="1" t="s">
        <v>1370</v>
      </c>
      <c r="O16" s="1" t="s">
        <v>1370</v>
      </c>
    </row>
    <row r="17" spans="1:15" x14ac:dyDescent="0.2">
      <c r="A17" s="1" t="s">
        <v>96</v>
      </c>
      <c r="B17" s="1" t="s">
        <v>97</v>
      </c>
      <c r="C17" s="1" t="s" vm="21">
        <v>1368</v>
      </c>
      <c r="D17" s="1" t="s" vm="21">
        <v>1368</v>
      </c>
      <c r="E17" s="1" t="s" vm="21">
        <v>1368</v>
      </c>
      <c r="F17" s="1" t="s">
        <v>1371</v>
      </c>
      <c r="G17" s="1" t="s">
        <v>1371</v>
      </c>
      <c r="H17" s="1" t="s">
        <v>1371</v>
      </c>
      <c r="I17" s="1" t="s">
        <v>1371</v>
      </c>
      <c r="J17" s="1" t="s">
        <v>1371</v>
      </c>
      <c r="K17" s="1" t="s">
        <v>1370</v>
      </c>
      <c r="L17" s="1" t="s">
        <v>1370</v>
      </c>
      <c r="M17" s="1" t="s">
        <v>1370</v>
      </c>
      <c r="N17" s="1" t="s">
        <v>1370</v>
      </c>
      <c r="O17" s="1" t="s">
        <v>1370</v>
      </c>
    </row>
    <row r="18" spans="1:15" x14ac:dyDescent="0.2">
      <c r="A18" s="1" t="s">
        <v>531</v>
      </c>
      <c r="B18" s="1" t="s">
        <v>532</v>
      </c>
      <c r="C18" s="1" t="s" vm="189">
        <v>1368</v>
      </c>
      <c r="D18" s="1" t="s" vm="189">
        <v>1368</v>
      </c>
      <c r="E18" s="1" t="s" vm="189">
        <v>1368</v>
      </c>
      <c r="F18" s="1" t="s">
        <v>1371</v>
      </c>
      <c r="G18" s="1" t="s">
        <v>1371</v>
      </c>
      <c r="H18" s="1" t="s">
        <v>1371</v>
      </c>
      <c r="I18" s="1" t="s">
        <v>1371</v>
      </c>
      <c r="J18" s="1" t="s">
        <v>1371</v>
      </c>
      <c r="K18" s="1" t="s">
        <v>1370</v>
      </c>
      <c r="L18" s="1" t="s">
        <v>1370</v>
      </c>
      <c r="M18" s="1" t="s">
        <v>1370</v>
      </c>
      <c r="N18" s="1" t="s">
        <v>1370</v>
      </c>
      <c r="O18" s="1" t="s">
        <v>1370</v>
      </c>
    </row>
    <row r="19" spans="1:15" x14ac:dyDescent="0.2">
      <c r="A19" s="1" t="s">
        <v>107</v>
      </c>
      <c r="B19" s="1" t="s">
        <v>1438</v>
      </c>
      <c r="C19" s="1" t="s" vm="193">
        <v>1368</v>
      </c>
      <c r="D19" s="1" t="s" vm="193">
        <v>1368</v>
      </c>
      <c r="E19" s="1" t="s" vm="193">
        <v>1368</v>
      </c>
      <c r="F19" s="1" t="s">
        <v>1371</v>
      </c>
      <c r="G19" s="1" t="s">
        <v>1371</v>
      </c>
      <c r="H19" s="1" t="s">
        <v>1371</v>
      </c>
      <c r="I19" s="1" t="s">
        <v>1371</v>
      </c>
      <c r="J19" s="1" t="s">
        <v>1371</v>
      </c>
      <c r="K19" s="1" t="s">
        <v>1370</v>
      </c>
      <c r="L19" s="1" t="s">
        <v>1370</v>
      </c>
      <c r="M19" s="1" t="s">
        <v>1370</v>
      </c>
      <c r="N19" s="1" t="s">
        <v>1370</v>
      </c>
      <c r="O19" s="1" t="s">
        <v>1370</v>
      </c>
    </row>
    <row r="20" spans="1:15" x14ac:dyDescent="0.2">
      <c r="A20" s="1" t="s">
        <v>3</v>
      </c>
      <c r="B20" s="1" t="s">
        <v>4</v>
      </c>
      <c r="C20" s="1" t="s" vm="195">
        <v>1368</v>
      </c>
      <c r="D20" s="1" t="s" vm="195">
        <v>1368</v>
      </c>
      <c r="E20" s="1" t="s" vm="195">
        <v>1368</v>
      </c>
      <c r="F20" s="1" t="s">
        <v>1371</v>
      </c>
      <c r="G20" s="1" t="s">
        <v>1371</v>
      </c>
      <c r="H20" s="1" t="s">
        <v>1371</v>
      </c>
      <c r="I20" s="1" t="s">
        <v>1371</v>
      </c>
      <c r="J20" s="1" t="s">
        <v>1371</v>
      </c>
      <c r="K20" s="1" t="s">
        <v>1370</v>
      </c>
      <c r="L20" s="1" t="s">
        <v>1370</v>
      </c>
      <c r="M20" s="1" t="s">
        <v>1370</v>
      </c>
      <c r="N20" s="1" t="s">
        <v>1370</v>
      </c>
      <c r="O20" s="1" t="s">
        <v>1370</v>
      </c>
    </row>
    <row r="21" spans="1:15" x14ac:dyDescent="0.2">
      <c r="A21" s="1" t="s">
        <v>227</v>
      </c>
      <c r="B21" s="1" t="s">
        <v>228</v>
      </c>
      <c r="C21" s="1" t="s" vm="201">
        <v>1368</v>
      </c>
      <c r="D21" s="1" t="s" vm="201">
        <v>1368</v>
      </c>
      <c r="E21" s="1" t="s" vm="201">
        <v>1368</v>
      </c>
      <c r="F21" s="1" t="s">
        <v>1371</v>
      </c>
      <c r="G21" s="1" t="s">
        <v>1371</v>
      </c>
      <c r="H21" s="1" t="s">
        <v>1371</v>
      </c>
      <c r="I21" s="1" t="s">
        <v>1371</v>
      </c>
      <c r="J21" s="1" t="s">
        <v>1371</v>
      </c>
      <c r="K21" s="1" t="s">
        <v>1370</v>
      </c>
      <c r="L21" s="1" t="s">
        <v>1370</v>
      </c>
      <c r="M21" s="1" t="s">
        <v>1370</v>
      </c>
      <c r="N21" s="1" t="s">
        <v>1370</v>
      </c>
      <c r="O21" s="1" t="s">
        <v>1370</v>
      </c>
    </row>
    <row r="22" spans="1:15" x14ac:dyDescent="0.2">
      <c r="A22" s="1" t="s">
        <v>613</v>
      </c>
      <c r="B22" s="1" t="s">
        <v>614</v>
      </c>
      <c r="C22" s="1" t="s" vm="204">
        <v>1368</v>
      </c>
      <c r="D22" s="1" t="s" vm="204">
        <v>1368</v>
      </c>
      <c r="E22" s="1" t="s" vm="204">
        <v>1368</v>
      </c>
      <c r="F22" s="1" t="s">
        <v>1371</v>
      </c>
      <c r="G22" s="1" t="s">
        <v>1371</v>
      </c>
      <c r="H22" s="1" t="s">
        <v>1371</v>
      </c>
      <c r="I22" s="1" t="s">
        <v>1371</v>
      </c>
      <c r="J22" s="1" t="s">
        <v>1371</v>
      </c>
      <c r="K22" s="1" t="s">
        <v>1370</v>
      </c>
      <c r="L22" s="1" t="s">
        <v>1370</v>
      </c>
      <c r="M22" s="1" t="s">
        <v>1370</v>
      </c>
      <c r="N22" s="1" t="s">
        <v>1370</v>
      </c>
      <c r="O22" s="1" t="s">
        <v>1370</v>
      </c>
    </row>
    <row r="23" spans="1:15" x14ac:dyDescent="0.2">
      <c r="A23" s="1" t="s">
        <v>33</v>
      </c>
      <c r="B23" s="1" t="s">
        <v>34</v>
      </c>
      <c r="C23" s="1" t="s" vm="115">
        <v>1368</v>
      </c>
      <c r="D23" s="1" t="s" vm="115">
        <v>1368</v>
      </c>
      <c r="E23" s="1" t="s" vm="115">
        <v>1368</v>
      </c>
      <c r="F23" s="1" t="s">
        <v>1371</v>
      </c>
      <c r="G23" s="1" t="s">
        <v>1371</v>
      </c>
      <c r="H23" s="1" t="s">
        <v>1371</v>
      </c>
      <c r="I23" s="1" t="s">
        <v>1371</v>
      </c>
      <c r="J23" s="1" t="s">
        <v>1371</v>
      </c>
      <c r="K23" s="1" t="s">
        <v>1370</v>
      </c>
      <c r="L23" s="1" t="s">
        <v>1370</v>
      </c>
      <c r="M23" s="1" t="s">
        <v>1370</v>
      </c>
      <c r="N23" s="1" t="s">
        <v>1370</v>
      </c>
      <c r="O23" s="1" t="s">
        <v>1370</v>
      </c>
    </row>
    <row r="24" spans="1:15" x14ac:dyDescent="0.2">
      <c r="A24" s="1" t="s">
        <v>427</v>
      </c>
      <c r="B24" s="1" t="s">
        <v>428</v>
      </c>
      <c r="C24" s="1" t="s" vm="205">
        <v>1368</v>
      </c>
      <c r="D24" s="1" t="s" vm="205">
        <v>1368</v>
      </c>
      <c r="E24" s="1" t="s" vm="205">
        <v>1368</v>
      </c>
      <c r="F24" s="1" t="s">
        <v>1371</v>
      </c>
      <c r="G24" s="1" t="s">
        <v>1371</v>
      </c>
      <c r="H24" s="1" t="s">
        <v>1371</v>
      </c>
      <c r="I24" s="1" t="s">
        <v>1371</v>
      </c>
      <c r="J24" s="1" t="s">
        <v>1371</v>
      </c>
      <c r="K24" s="1" t="s">
        <v>1370</v>
      </c>
      <c r="L24" s="1" t="s">
        <v>1370</v>
      </c>
      <c r="M24" s="1" t="s">
        <v>1370</v>
      </c>
      <c r="N24" s="1" t="s">
        <v>1370</v>
      </c>
      <c r="O24" s="1" t="s">
        <v>1370</v>
      </c>
    </row>
    <row r="25" spans="1:15" x14ac:dyDescent="0.2">
      <c r="A25" s="1" t="s">
        <v>665</v>
      </c>
      <c r="B25" s="1" t="s">
        <v>666</v>
      </c>
      <c r="C25" s="1" t="s" vm="52">
        <v>1368</v>
      </c>
      <c r="D25" s="1" t="s" vm="52">
        <v>1368</v>
      </c>
      <c r="E25" s="1" t="s" vm="52">
        <v>1368</v>
      </c>
      <c r="F25" s="1" t="s">
        <v>1371</v>
      </c>
      <c r="G25" s="1" t="s">
        <v>1371</v>
      </c>
      <c r="H25" s="1" t="s">
        <v>1371</v>
      </c>
      <c r="I25" s="1" t="s">
        <v>1371</v>
      </c>
      <c r="J25" s="1" t="s">
        <v>1370</v>
      </c>
      <c r="K25" s="1" t="s">
        <v>1370</v>
      </c>
      <c r="L25" s="1" t="s">
        <v>1370</v>
      </c>
      <c r="M25" s="1" t="s">
        <v>1370</v>
      </c>
      <c r="N25" s="1" t="s">
        <v>1370</v>
      </c>
      <c r="O25" s="1" t="s">
        <v>1371</v>
      </c>
    </row>
    <row r="26" spans="1:15" x14ac:dyDescent="0.2">
      <c r="A26" s="1" t="s">
        <v>540</v>
      </c>
      <c r="B26" s="1" t="s">
        <v>541</v>
      </c>
      <c r="C26" s="1" t="s" vm="10">
        <v>1368</v>
      </c>
      <c r="D26" s="1" t="s" vm="10">
        <v>1368</v>
      </c>
      <c r="E26" s="1" t="s" vm="10">
        <v>1368</v>
      </c>
      <c r="F26" s="1" t="s">
        <v>1371</v>
      </c>
      <c r="G26" s="1" t="s">
        <v>1371</v>
      </c>
      <c r="H26" s="1" t="s">
        <v>1371</v>
      </c>
      <c r="I26" s="1" t="s">
        <v>1371</v>
      </c>
      <c r="J26" s="1" t="s">
        <v>1370</v>
      </c>
      <c r="K26" s="1" t="s">
        <v>1370</v>
      </c>
      <c r="L26" s="1" t="s">
        <v>1370</v>
      </c>
      <c r="M26" s="1" t="s">
        <v>1370</v>
      </c>
      <c r="N26" s="1" t="s">
        <v>1370</v>
      </c>
      <c r="O26" s="1" t="s">
        <v>1370</v>
      </c>
    </row>
    <row r="27" spans="1:15" x14ac:dyDescent="0.2">
      <c r="A27" s="1" t="s">
        <v>446</v>
      </c>
      <c r="B27" s="1" t="s">
        <v>447</v>
      </c>
      <c r="C27" s="1" t="s" vm="83">
        <v>1368</v>
      </c>
      <c r="D27" s="1" t="s" vm="83">
        <v>1368</v>
      </c>
      <c r="E27" s="1" t="s" vm="83">
        <v>1368</v>
      </c>
      <c r="F27" s="1" t="s">
        <v>1371</v>
      </c>
      <c r="G27" s="1" t="s">
        <v>1371</v>
      </c>
      <c r="H27" s="1" t="s">
        <v>1371</v>
      </c>
      <c r="I27" s="1" t="s">
        <v>1371</v>
      </c>
      <c r="J27" s="1" t="s">
        <v>1370</v>
      </c>
      <c r="K27" s="1" t="s">
        <v>1370</v>
      </c>
      <c r="L27" s="1" t="s">
        <v>1370</v>
      </c>
      <c r="M27" s="1" t="s">
        <v>1370</v>
      </c>
      <c r="N27" s="1" t="s">
        <v>1370</v>
      </c>
      <c r="O27" s="1" t="s">
        <v>1370</v>
      </c>
    </row>
    <row r="28" spans="1:15" x14ac:dyDescent="0.2">
      <c r="A28" s="1" t="s">
        <v>454</v>
      </c>
      <c r="B28" s="1" t="s">
        <v>455</v>
      </c>
      <c r="C28" s="1" t="s" vm="98">
        <v>1368</v>
      </c>
      <c r="D28" s="1" t="s" vm="98">
        <v>1368</v>
      </c>
      <c r="E28" s="1" t="s" vm="98">
        <v>1368</v>
      </c>
      <c r="F28" s="1" t="s">
        <v>1371</v>
      </c>
      <c r="G28" s="1" t="s">
        <v>1371</v>
      </c>
      <c r="H28" s="1" t="s">
        <v>1371</v>
      </c>
      <c r="I28" s="1" t="s">
        <v>1371</v>
      </c>
      <c r="J28" s="1" t="s">
        <v>1370</v>
      </c>
      <c r="K28" s="1" t="s">
        <v>1370</v>
      </c>
      <c r="L28" s="1" t="s">
        <v>1370</v>
      </c>
      <c r="M28" s="1" t="s">
        <v>1370</v>
      </c>
      <c r="N28" s="1" t="s">
        <v>1370</v>
      </c>
      <c r="O28" s="1" t="s">
        <v>1370</v>
      </c>
    </row>
    <row r="29" spans="1:15" x14ac:dyDescent="0.2">
      <c r="A29" s="1" t="s">
        <v>583</v>
      </c>
      <c r="B29" s="1" t="s">
        <v>1036</v>
      </c>
      <c r="C29" s="1" t="s" vm="41">
        <v>1368</v>
      </c>
      <c r="D29" s="1" t="s" vm="41">
        <v>1368</v>
      </c>
      <c r="E29" s="1" t="s" vm="41">
        <v>1368</v>
      </c>
      <c r="F29" s="1" t="s">
        <v>1371</v>
      </c>
      <c r="G29" s="1" t="s">
        <v>1371</v>
      </c>
      <c r="H29" s="1" t="s">
        <v>1371</v>
      </c>
      <c r="I29" s="1" t="s">
        <v>1371</v>
      </c>
      <c r="J29" s="1" t="s">
        <v>1370</v>
      </c>
      <c r="K29" s="1" t="s">
        <v>1370</v>
      </c>
      <c r="L29" s="1" t="s">
        <v>1370</v>
      </c>
      <c r="M29" s="1" t="s">
        <v>1370</v>
      </c>
      <c r="N29" s="1" t="s">
        <v>1370</v>
      </c>
      <c r="O29" s="1" t="s">
        <v>1370</v>
      </c>
    </row>
    <row r="30" spans="1:15" x14ac:dyDescent="0.2">
      <c r="A30" s="1" t="s">
        <v>417</v>
      </c>
      <c r="B30" s="1" t="s">
        <v>418</v>
      </c>
      <c r="C30" s="1" t="s" vm="99">
        <v>1368</v>
      </c>
      <c r="D30" s="1" t="s" vm="99">
        <v>1368</v>
      </c>
      <c r="E30" s="1" t="s" vm="99">
        <v>1368</v>
      </c>
      <c r="F30" s="1" t="s">
        <v>1371</v>
      </c>
      <c r="G30" s="1" t="s">
        <v>1371</v>
      </c>
      <c r="H30" s="1" t="s">
        <v>1371</v>
      </c>
      <c r="I30" s="1" t="s">
        <v>1371</v>
      </c>
      <c r="J30" s="1" t="s">
        <v>1370</v>
      </c>
      <c r="K30" s="1" t="s">
        <v>1370</v>
      </c>
      <c r="L30" s="1" t="s">
        <v>1370</v>
      </c>
      <c r="M30" s="1" t="s">
        <v>1370</v>
      </c>
      <c r="N30" s="1" t="s">
        <v>1370</v>
      </c>
      <c r="O30" s="1" t="s">
        <v>1370</v>
      </c>
    </row>
    <row r="31" spans="1:15" x14ac:dyDescent="0.2">
      <c r="A31" s="1" t="s">
        <v>496</v>
      </c>
      <c r="B31" s="1" t="s">
        <v>497</v>
      </c>
      <c r="C31" s="1" t="s" vm="42">
        <v>1368</v>
      </c>
      <c r="D31" s="1" t="s" vm="42">
        <v>1368</v>
      </c>
      <c r="E31" s="1" t="s" vm="42">
        <v>1368</v>
      </c>
      <c r="F31" s="1" t="s">
        <v>1371</v>
      </c>
      <c r="G31" s="1" t="s">
        <v>1371</v>
      </c>
      <c r="H31" s="1" t="s">
        <v>1371</v>
      </c>
      <c r="I31" s="1" t="s">
        <v>1371</v>
      </c>
      <c r="J31" s="1" t="s">
        <v>1370</v>
      </c>
      <c r="K31" s="1" t="s">
        <v>1370</v>
      </c>
      <c r="L31" s="1" t="s">
        <v>1370</v>
      </c>
      <c r="M31" s="1" t="s">
        <v>1370</v>
      </c>
      <c r="N31" s="1" t="s">
        <v>1370</v>
      </c>
      <c r="O31" s="1" t="s">
        <v>1370</v>
      </c>
    </row>
    <row r="32" spans="1:15" x14ac:dyDescent="0.2">
      <c r="A32" s="1" t="s">
        <v>654</v>
      </c>
      <c r="B32" s="1" t="s">
        <v>1428</v>
      </c>
      <c r="C32" s="1" t="s" vm="48">
        <v>1368</v>
      </c>
      <c r="D32" s="1" t="s" vm="48">
        <v>1368</v>
      </c>
      <c r="E32" s="1" t="s" vm="48">
        <v>1368</v>
      </c>
      <c r="F32" s="1" t="s">
        <v>1371</v>
      </c>
      <c r="G32" s="1" t="s">
        <v>1371</v>
      </c>
      <c r="H32" s="1" t="s">
        <v>1371</v>
      </c>
      <c r="I32" s="1" t="s">
        <v>1371</v>
      </c>
      <c r="J32" s="1" t="s">
        <v>1370</v>
      </c>
      <c r="K32" s="1" t="s">
        <v>1370</v>
      </c>
      <c r="L32" s="1" t="s">
        <v>1370</v>
      </c>
      <c r="M32" s="1" t="s">
        <v>1370</v>
      </c>
      <c r="N32" s="1" t="s">
        <v>1370</v>
      </c>
      <c r="O32" s="1" t="s">
        <v>1370</v>
      </c>
    </row>
    <row r="33" spans="1:15" x14ac:dyDescent="0.2">
      <c r="A33" s="1" t="s">
        <v>48</v>
      </c>
      <c r="B33" s="1" t="s">
        <v>49</v>
      </c>
      <c r="C33" s="1" t="s" vm="208">
        <v>1368</v>
      </c>
      <c r="D33" s="1" t="s" vm="208">
        <v>1368</v>
      </c>
      <c r="E33" s="1" t="s" vm="208">
        <v>1368</v>
      </c>
      <c r="F33" s="1" t="s">
        <v>1371</v>
      </c>
      <c r="G33" s="1" t="s">
        <v>1371</v>
      </c>
      <c r="H33" s="1" t="s">
        <v>1371</v>
      </c>
      <c r="I33" s="1" t="s">
        <v>1371</v>
      </c>
      <c r="J33" s="1" t="s">
        <v>1370</v>
      </c>
      <c r="K33" s="1" t="s">
        <v>1370</v>
      </c>
      <c r="L33" s="1" t="s">
        <v>1370</v>
      </c>
      <c r="M33" s="1" t="s">
        <v>1370</v>
      </c>
      <c r="N33" s="1" t="s">
        <v>1370</v>
      </c>
      <c r="O33" s="1" t="s">
        <v>1370</v>
      </c>
    </row>
    <row r="34" spans="1:15" x14ac:dyDescent="0.2">
      <c r="A34" s="1" t="s">
        <v>238</v>
      </c>
      <c r="B34" s="1" t="s">
        <v>239</v>
      </c>
      <c r="C34" s="1" t="s" vm="128">
        <v>1368</v>
      </c>
      <c r="D34" s="1" t="s" vm="128">
        <v>1368</v>
      </c>
      <c r="E34" s="1" t="s" vm="128">
        <v>1368</v>
      </c>
      <c r="F34" s="1" t="s">
        <v>1371</v>
      </c>
      <c r="G34" s="1" t="s">
        <v>1371</v>
      </c>
      <c r="H34" s="1" t="s">
        <v>1371</v>
      </c>
      <c r="I34" s="1" t="s">
        <v>1371</v>
      </c>
      <c r="J34" s="1" t="s">
        <v>1370</v>
      </c>
      <c r="K34" s="1" t="s">
        <v>1370</v>
      </c>
      <c r="L34" s="1" t="s">
        <v>1370</v>
      </c>
      <c r="M34" s="1" t="s">
        <v>1370</v>
      </c>
      <c r="N34" s="1" t="s">
        <v>1370</v>
      </c>
      <c r="O34" s="1" t="s">
        <v>1370</v>
      </c>
    </row>
    <row r="35" spans="1:15" x14ac:dyDescent="0.2">
      <c r="A35" s="1" t="s">
        <v>58</v>
      </c>
      <c r="B35" s="1" t="s">
        <v>59</v>
      </c>
      <c r="C35" s="1" t="s" vm="69">
        <v>1368</v>
      </c>
      <c r="D35" s="1" t="s" vm="69">
        <v>1368</v>
      </c>
      <c r="E35" s="1" t="s" vm="69">
        <v>1368</v>
      </c>
      <c r="F35" s="1" t="s">
        <v>1371</v>
      </c>
      <c r="G35" s="1" t="s">
        <v>1371</v>
      </c>
      <c r="H35" s="1" t="s">
        <v>1371</v>
      </c>
      <c r="I35" s="1" t="s">
        <v>1371</v>
      </c>
      <c r="J35" s="1" t="s">
        <v>1370</v>
      </c>
      <c r="K35" s="1" t="s">
        <v>1370</v>
      </c>
      <c r="L35" s="1" t="s">
        <v>1370</v>
      </c>
      <c r="M35" s="1" t="s">
        <v>1370</v>
      </c>
      <c r="N35" s="1" t="s">
        <v>1370</v>
      </c>
      <c r="O35" s="1" t="s">
        <v>1370</v>
      </c>
    </row>
    <row r="36" spans="1:15" x14ac:dyDescent="0.2">
      <c r="A36" s="1" t="s">
        <v>312</v>
      </c>
      <c r="B36" s="1" t="s">
        <v>912</v>
      </c>
      <c r="C36" s="1" t="s" vm="73">
        <v>1368</v>
      </c>
      <c r="D36" s="1" t="s" vm="73">
        <v>1368</v>
      </c>
      <c r="E36" s="1" t="s" vm="73">
        <v>1368</v>
      </c>
      <c r="F36" s="1" t="s">
        <v>1371</v>
      </c>
      <c r="G36" s="1" t="s">
        <v>1371</v>
      </c>
      <c r="H36" s="1" t="s">
        <v>1371</v>
      </c>
      <c r="I36" s="1" t="s">
        <v>1370</v>
      </c>
      <c r="J36" s="1" t="s">
        <v>1370</v>
      </c>
      <c r="K36" s="1" t="s">
        <v>1370</v>
      </c>
      <c r="L36" s="1" t="s">
        <v>1370</v>
      </c>
      <c r="M36" s="1" t="s">
        <v>1370</v>
      </c>
      <c r="N36" s="1" t="s">
        <v>1370</v>
      </c>
      <c r="O36" s="1" t="s">
        <v>1370</v>
      </c>
    </row>
    <row r="37" spans="1:15" x14ac:dyDescent="0.2">
      <c r="A37" s="1" t="s">
        <v>465</v>
      </c>
      <c r="B37" s="1" t="s">
        <v>466</v>
      </c>
      <c r="C37" s="1" t="s" vm="188">
        <v>1368</v>
      </c>
      <c r="D37" s="1" t="s" vm="188">
        <v>1368</v>
      </c>
      <c r="E37" s="1" t="s" vm="188">
        <v>1368</v>
      </c>
      <c r="F37" s="1" t="s">
        <v>1371</v>
      </c>
      <c r="G37" s="1" t="s">
        <v>1371</v>
      </c>
      <c r="H37" s="1" t="s">
        <v>1370</v>
      </c>
      <c r="I37" s="1" t="s">
        <v>1370</v>
      </c>
      <c r="J37" s="1" t="s">
        <v>1370</v>
      </c>
      <c r="K37" s="1" t="s">
        <v>1370</v>
      </c>
      <c r="L37" s="1" t="s">
        <v>1370</v>
      </c>
      <c r="M37" s="1" t="s">
        <v>1370</v>
      </c>
      <c r="N37" s="1" t="s">
        <v>1370</v>
      </c>
      <c r="O37" s="1" t="s">
        <v>1370</v>
      </c>
    </row>
    <row r="38" spans="1:15" x14ac:dyDescent="0.2">
      <c r="A38" s="1" t="s">
        <v>70</v>
      </c>
      <c r="B38" s="1" t="s">
        <v>71</v>
      </c>
      <c r="C38" s="1" t="s" vm="57">
        <v>1368</v>
      </c>
      <c r="D38" s="1" t="s" vm="57">
        <v>1368</v>
      </c>
      <c r="E38" s="1" t="s" vm="57">
        <v>1368</v>
      </c>
      <c r="F38" s="1" t="s">
        <v>1371</v>
      </c>
      <c r="G38" s="1" t="s">
        <v>1371</v>
      </c>
      <c r="H38" s="1" t="s">
        <v>1370</v>
      </c>
      <c r="I38" s="1" t="s">
        <v>1370</v>
      </c>
      <c r="J38" s="1" t="s">
        <v>1370</v>
      </c>
      <c r="K38" s="1" t="s">
        <v>1370</v>
      </c>
      <c r="L38" s="1" t="s">
        <v>1370</v>
      </c>
      <c r="M38" s="1" t="s">
        <v>1370</v>
      </c>
      <c r="N38" s="1" t="s">
        <v>1370</v>
      </c>
      <c r="O38" s="1" t="s">
        <v>1370</v>
      </c>
    </row>
    <row r="39" spans="1:15" x14ac:dyDescent="0.2">
      <c r="A39" s="1" t="s">
        <v>542</v>
      </c>
      <c r="B39" s="1" t="s">
        <v>543</v>
      </c>
      <c r="C39" s="1" t="s" vm="132">
        <v>1368</v>
      </c>
      <c r="D39" s="1" t="s" vm="132">
        <v>1368</v>
      </c>
      <c r="E39" s="1" t="s" vm="132">
        <v>1368</v>
      </c>
      <c r="F39" s="1" t="s">
        <v>1371</v>
      </c>
      <c r="G39" s="1" t="s">
        <v>1371</v>
      </c>
      <c r="H39" s="1" t="s">
        <v>1370</v>
      </c>
      <c r="I39" s="1" t="s">
        <v>1370</v>
      </c>
      <c r="J39" s="1" t="s">
        <v>1370</v>
      </c>
      <c r="K39" s="1" t="s">
        <v>1370</v>
      </c>
      <c r="L39" s="1" t="s">
        <v>1370</v>
      </c>
      <c r="M39" s="1" t="s">
        <v>1370</v>
      </c>
      <c r="N39" s="1" t="s">
        <v>1370</v>
      </c>
      <c r="O39" s="1" t="s">
        <v>1370</v>
      </c>
    </row>
    <row r="40" spans="1:15" x14ac:dyDescent="0.2">
      <c r="A40" s="1" t="s">
        <v>637</v>
      </c>
      <c r="B40" s="1" t="s">
        <v>638</v>
      </c>
      <c r="C40" s="1" t="s" vm="85">
        <v>1368</v>
      </c>
      <c r="D40" s="1" t="s" vm="85">
        <v>1368</v>
      </c>
      <c r="E40" s="1" t="s" vm="85">
        <v>1368</v>
      </c>
      <c r="F40" s="1" t="s">
        <v>1371</v>
      </c>
      <c r="G40" s="1" t="s">
        <v>1371</v>
      </c>
      <c r="H40" s="1" t="s">
        <v>1370</v>
      </c>
      <c r="I40" s="1" t="s">
        <v>1370</v>
      </c>
      <c r="J40" s="1" t="s">
        <v>1370</v>
      </c>
      <c r="K40" s="1" t="s">
        <v>1370</v>
      </c>
      <c r="L40" s="1" t="s">
        <v>1370</v>
      </c>
      <c r="M40" s="1" t="s">
        <v>1370</v>
      </c>
      <c r="N40" s="1" t="s">
        <v>1370</v>
      </c>
      <c r="O40" s="1" t="s">
        <v>1370</v>
      </c>
    </row>
    <row r="41" spans="1:15" x14ac:dyDescent="0.2">
      <c r="A41" s="1" t="s">
        <v>198</v>
      </c>
      <c r="B41" s="1" t="s">
        <v>199</v>
      </c>
      <c r="C41" s="1" t="s" vm="241">
        <v>1368</v>
      </c>
      <c r="D41" s="1" t="s" vm="241">
        <v>1368</v>
      </c>
      <c r="E41" s="1" t="s" vm="241">
        <v>1368</v>
      </c>
      <c r="F41" s="1" t="s">
        <v>1371</v>
      </c>
      <c r="G41" s="1" t="s">
        <v>1371</v>
      </c>
      <c r="H41" s="1" t="s">
        <v>1370</v>
      </c>
      <c r="I41" s="1" t="s">
        <v>1370</v>
      </c>
      <c r="J41" s="1" t="s">
        <v>1370</v>
      </c>
      <c r="K41" s="1" t="s">
        <v>1370</v>
      </c>
      <c r="L41" s="1" t="s">
        <v>1370</v>
      </c>
      <c r="M41" s="1" t="s">
        <v>1370</v>
      </c>
      <c r="N41" s="1" t="s">
        <v>1370</v>
      </c>
      <c r="O41" s="1" t="s">
        <v>1370</v>
      </c>
    </row>
    <row r="42" spans="1:15" x14ac:dyDescent="0.2">
      <c r="A42" s="1" t="s">
        <v>442</v>
      </c>
      <c r="B42" s="1" t="s">
        <v>863</v>
      </c>
      <c r="C42" s="1" t="s" vm="149">
        <v>1368</v>
      </c>
      <c r="D42" s="1" t="s" vm="149">
        <v>1368</v>
      </c>
      <c r="E42" s="1" t="s" vm="149">
        <v>1368</v>
      </c>
      <c r="F42" s="1" t="s">
        <v>1371</v>
      </c>
      <c r="G42" s="1" t="s">
        <v>1371</v>
      </c>
      <c r="H42" s="1" t="s">
        <v>1370</v>
      </c>
      <c r="I42" s="1" t="s">
        <v>1370</v>
      </c>
      <c r="J42" s="1" t="s">
        <v>1370</v>
      </c>
      <c r="K42" s="1" t="s">
        <v>1370</v>
      </c>
      <c r="L42" s="1" t="s">
        <v>1370</v>
      </c>
      <c r="M42" s="1" t="s">
        <v>1370</v>
      </c>
      <c r="N42" s="1" t="s">
        <v>1370</v>
      </c>
      <c r="O42" s="1" t="s">
        <v>1370</v>
      </c>
    </row>
    <row r="43" spans="1:15" x14ac:dyDescent="0.2">
      <c r="A43" s="1" t="s">
        <v>243</v>
      </c>
      <c r="B43" s="1" t="s">
        <v>1096</v>
      </c>
      <c r="C43" s="1" t="s" vm="222">
        <v>1368</v>
      </c>
      <c r="D43" s="1" t="s" vm="222">
        <v>1368</v>
      </c>
      <c r="E43" s="1" t="s" vm="222">
        <v>1368</v>
      </c>
      <c r="F43" s="1" t="s">
        <v>1371</v>
      </c>
      <c r="G43" s="1" t="s">
        <v>1371</v>
      </c>
      <c r="H43" s="1" t="s">
        <v>1370</v>
      </c>
      <c r="I43" s="1" t="s">
        <v>1370</v>
      </c>
      <c r="J43" s="1" t="s">
        <v>1370</v>
      </c>
      <c r="K43" s="1" t="s">
        <v>1370</v>
      </c>
      <c r="L43" s="1" t="s">
        <v>1370</v>
      </c>
      <c r="M43" s="1" t="s">
        <v>1370</v>
      </c>
      <c r="N43" s="1" t="s">
        <v>1370</v>
      </c>
      <c r="O43" s="1" t="s">
        <v>1370</v>
      </c>
    </row>
    <row r="44" spans="1:15" x14ac:dyDescent="0.2">
      <c r="A44" s="1" t="s">
        <v>50</v>
      </c>
      <c r="B44" s="1" t="s">
        <v>51</v>
      </c>
      <c r="C44" s="1" t="s" vm="87">
        <v>1368</v>
      </c>
      <c r="D44" s="1" t="s" vm="87">
        <v>1368</v>
      </c>
      <c r="E44" s="1" t="s" vm="87">
        <v>1368</v>
      </c>
      <c r="F44" s="1" t="s">
        <v>1371</v>
      </c>
      <c r="G44" s="1" t="s">
        <v>1371</v>
      </c>
      <c r="H44" s="1" t="s">
        <v>1370</v>
      </c>
      <c r="I44" s="1" t="s">
        <v>1370</v>
      </c>
      <c r="J44" s="1" t="s">
        <v>1370</v>
      </c>
      <c r="K44" s="1" t="s">
        <v>1370</v>
      </c>
      <c r="L44" s="1" t="s">
        <v>1370</v>
      </c>
      <c r="M44" s="1" t="s">
        <v>1370</v>
      </c>
      <c r="N44" s="1" t="s">
        <v>1370</v>
      </c>
      <c r="O44" s="1" t="s">
        <v>1370</v>
      </c>
    </row>
    <row r="45" spans="1:15" x14ac:dyDescent="0.2">
      <c r="A45" s="1" t="s">
        <v>629</v>
      </c>
      <c r="B45" s="1" t="s">
        <v>630</v>
      </c>
      <c r="C45" s="1" t="s" vm="166">
        <v>1368</v>
      </c>
      <c r="D45" s="1" t="s" vm="166">
        <v>1368</v>
      </c>
      <c r="E45" s="1" t="s" vm="166">
        <v>1368</v>
      </c>
      <c r="F45" s="1" t="s">
        <v>1371</v>
      </c>
      <c r="G45" s="1" t="s">
        <v>1371</v>
      </c>
      <c r="H45" s="1" t="s">
        <v>1370</v>
      </c>
      <c r="I45" s="1" t="s">
        <v>1370</v>
      </c>
      <c r="J45" s="1" t="s">
        <v>1370</v>
      </c>
      <c r="K45" s="1" t="s">
        <v>1370</v>
      </c>
      <c r="L45" s="1" t="s">
        <v>1370</v>
      </c>
      <c r="M45" s="1" t="s">
        <v>1370</v>
      </c>
      <c r="N45" s="1" t="s">
        <v>1370</v>
      </c>
      <c r="O45" s="1" t="s">
        <v>1370</v>
      </c>
    </row>
    <row r="46" spans="1:15" x14ac:dyDescent="0.2">
      <c r="A46" s="1" t="s">
        <v>473</v>
      </c>
      <c r="B46" s="1" t="s">
        <v>474</v>
      </c>
      <c r="C46" s="1" t="s" vm="103">
        <v>1368</v>
      </c>
      <c r="D46" s="1" t="s" vm="103">
        <v>1368</v>
      </c>
      <c r="E46" s="1" t="s" vm="103">
        <v>1368</v>
      </c>
      <c r="F46" s="1" t="s">
        <v>1371</v>
      </c>
      <c r="G46" s="1" t="s">
        <v>1371</v>
      </c>
      <c r="H46" s="1" t="s">
        <v>1370</v>
      </c>
      <c r="I46" s="1" t="s">
        <v>1370</v>
      </c>
      <c r="J46" s="1" t="s">
        <v>1370</v>
      </c>
      <c r="K46" s="1" t="s">
        <v>1370</v>
      </c>
      <c r="L46" s="1" t="s">
        <v>1370</v>
      </c>
      <c r="M46" s="1" t="s">
        <v>1370</v>
      </c>
      <c r="N46" s="1" t="s">
        <v>1370</v>
      </c>
      <c r="O46" s="1" t="s">
        <v>1370</v>
      </c>
    </row>
    <row r="47" spans="1:15" x14ac:dyDescent="0.2">
      <c r="A47" s="1" t="s">
        <v>622</v>
      </c>
      <c r="B47" s="1" t="s">
        <v>623</v>
      </c>
      <c r="C47" s="1" t="s" vm="146">
        <v>1368</v>
      </c>
      <c r="D47" s="1" t="s" vm="146">
        <v>1368</v>
      </c>
      <c r="E47" s="1" t="s" vm="146">
        <v>1368</v>
      </c>
      <c r="F47" s="1" t="s">
        <v>1371</v>
      </c>
      <c r="G47" s="1" t="s">
        <v>1371</v>
      </c>
      <c r="H47" s="1" t="s">
        <v>1370</v>
      </c>
      <c r="I47" s="1" t="s">
        <v>1370</v>
      </c>
      <c r="J47" s="1" t="s">
        <v>1370</v>
      </c>
      <c r="K47" s="1" t="s">
        <v>1370</v>
      </c>
      <c r="L47" s="1" t="s">
        <v>1370</v>
      </c>
      <c r="M47" s="1" t="s">
        <v>1370</v>
      </c>
      <c r="N47" s="1" t="s">
        <v>1370</v>
      </c>
      <c r="O47" s="1" t="s">
        <v>1370</v>
      </c>
    </row>
    <row r="48" spans="1:15" x14ac:dyDescent="0.2">
      <c r="A48" s="1" t="s">
        <v>470</v>
      </c>
      <c r="B48" s="1" t="s">
        <v>471</v>
      </c>
      <c r="C48" s="1" t="s" vm="167">
        <v>1368</v>
      </c>
      <c r="D48" s="1" t="s" vm="167">
        <v>1368</v>
      </c>
      <c r="E48" s="1" t="s" vm="167">
        <v>1368</v>
      </c>
      <c r="F48" s="1" t="s">
        <v>1371</v>
      </c>
      <c r="G48" s="1" t="s">
        <v>1371</v>
      </c>
      <c r="H48" s="1" t="s">
        <v>1370</v>
      </c>
      <c r="I48" s="1" t="s">
        <v>1370</v>
      </c>
      <c r="J48" s="1" t="s">
        <v>1370</v>
      </c>
      <c r="K48" s="1" t="s">
        <v>1370</v>
      </c>
      <c r="L48" s="1" t="s">
        <v>1370</v>
      </c>
      <c r="M48" s="1" t="s">
        <v>1370</v>
      </c>
      <c r="N48" s="1" t="s">
        <v>1370</v>
      </c>
      <c r="O48" s="1" t="s">
        <v>1370</v>
      </c>
    </row>
    <row r="49" spans="1:15" x14ac:dyDescent="0.2">
      <c r="A49" s="1" t="s">
        <v>478</v>
      </c>
      <c r="B49" s="1" t="s">
        <v>479</v>
      </c>
      <c r="C49" s="1" t="s" vm="226">
        <v>1368</v>
      </c>
      <c r="D49" s="1" t="s" vm="226">
        <v>1368</v>
      </c>
      <c r="E49" s="1" t="s" vm="226">
        <v>1368</v>
      </c>
      <c r="F49" s="1" t="s">
        <v>1371</v>
      </c>
      <c r="G49" s="1" t="s">
        <v>1371</v>
      </c>
      <c r="H49" s="1" t="s">
        <v>1370</v>
      </c>
      <c r="I49" s="1" t="s">
        <v>1370</v>
      </c>
      <c r="J49" s="1" t="s">
        <v>1370</v>
      </c>
      <c r="K49" s="1" t="s">
        <v>1370</v>
      </c>
      <c r="L49" s="1" t="s">
        <v>1370</v>
      </c>
      <c r="M49" s="1" t="s">
        <v>1370</v>
      </c>
      <c r="N49" s="1" t="s">
        <v>1370</v>
      </c>
      <c r="O49" s="1" t="s">
        <v>1370</v>
      </c>
    </row>
    <row r="50" spans="1:15" x14ac:dyDescent="0.2">
      <c r="A50" s="1" t="s">
        <v>207</v>
      </c>
      <c r="B50" s="1" t="s">
        <v>208</v>
      </c>
      <c r="C50" s="1" t="s" vm="104">
        <v>1368</v>
      </c>
      <c r="D50" s="1" t="s" vm="104">
        <v>1368</v>
      </c>
      <c r="E50" s="1" t="s" vm="104">
        <v>1368</v>
      </c>
      <c r="F50" s="1" t="s">
        <v>1371</v>
      </c>
      <c r="G50" s="1" t="s">
        <v>1371</v>
      </c>
      <c r="H50" s="1" t="s">
        <v>1370</v>
      </c>
      <c r="I50" s="1" t="s">
        <v>1370</v>
      </c>
      <c r="J50" s="1" t="s">
        <v>1370</v>
      </c>
      <c r="K50" s="1" t="s">
        <v>1370</v>
      </c>
      <c r="L50" s="1" t="s">
        <v>1370</v>
      </c>
      <c r="M50" s="1" t="s">
        <v>1370</v>
      </c>
      <c r="N50" s="1" t="s">
        <v>1370</v>
      </c>
      <c r="O50" s="1" t="s">
        <v>1370</v>
      </c>
    </row>
    <row r="51" spans="1:15" x14ac:dyDescent="0.2">
      <c r="A51" s="1" t="s">
        <v>586</v>
      </c>
      <c r="B51" s="1" t="s">
        <v>1040</v>
      </c>
      <c r="C51" s="1" t="s" vm="169">
        <v>1368</v>
      </c>
      <c r="D51" s="1" t="s" vm="169">
        <v>1368</v>
      </c>
      <c r="E51" s="1" t="s" vm="169">
        <v>1368</v>
      </c>
      <c r="F51" s="1" t="s">
        <v>1371</v>
      </c>
      <c r="G51" s="1" t="s">
        <v>1371</v>
      </c>
      <c r="H51" s="1" t="s">
        <v>1370</v>
      </c>
      <c r="I51" s="1" t="s">
        <v>1370</v>
      </c>
      <c r="J51" s="1" t="s">
        <v>1370</v>
      </c>
      <c r="K51" s="1" t="s">
        <v>1370</v>
      </c>
      <c r="L51" s="1" t="s">
        <v>1370</v>
      </c>
      <c r="M51" s="1" t="s">
        <v>1370</v>
      </c>
      <c r="N51" s="1" t="s">
        <v>1370</v>
      </c>
      <c r="O51" s="1" t="s">
        <v>1370</v>
      </c>
    </row>
    <row r="52" spans="1:15" x14ac:dyDescent="0.2">
      <c r="A52" s="1" t="s">
        <v>590</v>
      </c>
      <c r="B52" s="1" t="s">
        <v>984</v>
      </c>
      <c r="C52" s="1" t="s" vm="227">
        <v>1368</v>
      </c>
      <c r="D52" s="1" t="s" vm="227">
        <v>1368</v>
      </c>
      <c r="E52" s="1" t="s" vm="227">
        <v>1368</v>
      </c>
      <c r="F52" s="1" t="s">
        <v>1371</v>
      </c>
      <c r="G52" s="1" t="s">
        <v>1371</v>
      </c>
      <c r="H52" s="1" t="s">
        <v>1370</v>
      </c>
      <c r="I52" s="1" t="s">
        <v>1370</v>
      </c>
      <c r="J52" s="1" t="s">
        <v>1370</v>
      </c>
      <c r="K52" s="1" t="s">
        <v>1370</v>
      </c>
      <c r="L52" s="1" t="s">
        <v>1370</v>
      </c>
      <c r="M52" s="1" t="s">
        <v>1370</v>
      </c>
      <c r="N52" s="1" t="s">
        <v>1370</v>
      </c>
      <c r="O52" s="1" t="s">
        <v>1370</v>
      </c>
    </row>
    <row r="53" spans="1:15" x14ac:dyDescent="0.2">
      <c r="A53" s="1" t="s">
        <v>245</v>
      </c>
      <c r="B53" s="1" t="s">
        <v>246</v>
      </c>
      <c r="C53" s="1" t="s" vm="110">
        <v>1368</v>
      </c>
      <c r="D53" s="1" t="s" vm="110">
        <v>1368</v>
      </c>
      <c r="E53" s="1" t="s" vm="110">
        <v>1368</v>
      </c>
      <c r="F53" s="1" t="s">
        <v>1371</v>
      </c>
      <c r="G53" s="1" t="s">
        <v>1371</v>
      </c>
      <c r="H53" s="1" t="s">
        <v>1370</v>
      </c>
      <c r="I53" s="1" t="s">
        <v>1370</v>
      </c>
      <c r="J53" s="1" t="s">
        <v>1370</v>
      </c>
      <c r="K53" s="1" t="s">
        <v>1370</v>
      </c>
      <c r="L53" s="1" t="s">
        <v>1370</v>
      </c>
      <c r="M53" s="1" t="s">
        <v>1370</v>
      </c>
      <c r="N53" s="1" t="s">
        <v>1370</v>
      </c>
      <c r="O53" s="1" t="s">
        <v>1370</v>
      </c>
    </row>
    <row r="54" spans="1:15" x14ac:dyDescent="0.2">
      <c r="A54" s="1" t="s">
        <v>600</v>
      </c>
      <c r="B54" s="1" t="s">
        <v>601</v>
      </c>
      <c r="C54" s="1" t="s" vm="150">
        <v>1368</v>
      </c>
      <c r="D54" s="1" t="s" vm="150">
        <v>1368</v>
      </c>
      <c r="E54" s="1" t="s" vm="150">
        <v>1368</v>
      </c>
      <c r="F54" s="1" t="s">
        <v>1371</v>
      </c>
      <c r="G54" s="1" t="s">
        <v>1371</v>
      </c>
      <c r="H54" s="1" t="s">
        <v>1370</v>
      </c>
      <c r="I54" s="1" t="s">
        <v>1370</v>
      </c>
      <c r="J54" s="1" t="s">
        <v>1370</v>
      </c>
      <c r="K54" s="1" t="s">
        <v>1370</v>
      </c>
      <c r="L54" s="1" t="s">
        <v>1370</v>
      </c>
      <c r="M54" s="1" t="s">
        <v>1370</v>
      </c>
      <c r="N54" s="1" t="s">
        <v>1370</v>
      </c>
      <c r="O54" s="1" t="s">
        <v>1370</v>
      </c>
    </row>
    <row r="55" spans="1:15" x14ac:dyDescent="0.2">
      <c r="A55" s="1" t="s">
        <v>508</v>
      </c>
      <c r="B55" s="1" t="s">
        <v>509</v>
      </c>
      <c r="C55" s="1" t="s" vm="170">
        <v>1368</v>
      </c>
      <c r="D55" s="1" t="s" vm="170">
        <v>1368</v>
      </c>
      <c r="E55" s="1" t="s" vm="170">
        <v>1368</v>
      </c>
      <c r="F55" s="1" t="s">
        <v>1371</v>
      </c>
      <c r="G55" s="1" t="s">
        <v>1371</v>
      </c>
      <c r="H55" s="1" t="s">
        <v>1370</v>
      </c>
      <c r="I55" s="1" t="s">
        <v>1370</v>
      </c>
      <c r="J55" s="1" t="s">
        <v>1370</v>
      </c>
      <c r="K55" s="1" t="s">
        <v>1370</v>
      </c>
      <c r="L55" s="1" t="s">
        <v>1370</v>
      </c>
      <c r="M55" s="1" t="s">
        <v>1370</v>
      </c>
      <c r="N55" s="1" t="s">
        <v>1370</v>
      </c>
      <c r="O55" s="1" t="s">
        <v>1370</v>
      </c>
    </row>
    <row r="56" spans="1:15" x14ac:dyDescent="0.2">
      <c r="A56" s="1" t="s">
        <v>31</v>
      </c>
      <c r="B56" s="1" t="s">
        <v>32</v>
      </c>
      <c r="C56" s="1" t="s" vm="228">
        <v>1368</v>
      </c>
      <c r="D56" s="1" t="s" vm="228">
        <v>1368</v>
      </c>
      <c r="E56" s="1" t="s" vm="228">
        <v>1368</v>
      </c>
      <c r="F56" s="1" t="s">
        <v>1371</v>
      </c>
      <c r="G56" s="1" t="s">
        <v>1371</v>
      </c>
      <c r="H56" s="1" t="s">
        <v>1370</v>
      </c>
      <c r="I56" s="1" t="s">
        <v>1370</v>
      </c>
      <c r="J56" s="1" t="s">
        <v>1370</v>
      </c>
      <c r="K56" s="1" t="s">
        <v>1370</v>
      </c>
      <c r="L56" s="1" t="s">
        <v>1370</v>
      </c>
      <c r="M56" s="1" t="s">
        <v>1370</v>
      </c>
      <c r="N56" s="1" t="s">
        <v>1370</v>
      </c>
      <c r="O56" s="1" t="s">
        <v>1370</v>
      </c>
    </row>
    <row r="57" spans="1:15" x14ac:dyDescent="0.2">
      <c r="A57" s="1" t="s">
        <v>19</v>
      </c>
      <c r="B57" s="1" t="s">
        <v>20</v>
      </c>
      <c r="C57" s="1" t="s" vm="113">
        <v>1368</v>
      </c>
      <c r="D57" s="1" t="s" vm="113">
        <v>1368</v>
      </c>
      <c r="E57" s="1" t="s" vm="113">
        <v>1368</v>
      </c>
      <c r="F57" s="1" t="s">
        <v>1371</v>
      </c>
      <c r="G57" s="1" t="s">
        <v>1371</v>
      </c>
      <c r="H57" s="1" t="s">
        <v>1370</v>
      </c>
      <c r="I57" s="1" t="s">
        <v>1370</v>
      </c>
      <c r="J57" s="1" t="s">
        <v>1370</v>
      </c>
      <c r="K57" s="1" t="s">
        <v>1370</v>
      </c>
      <c r="L57" s="1" t="s">
        <v>1370</v>
      </c>
      <c r="M57" s="1" t="s">
        <v>1370</v>
      </c>
      <c r="N57" s="1" t="s">
        <v>1370</v>
      </c>
      <c r="O57" s="1" t="s">
        <v>1370</v>
      </c>
    </row>
    <row r="58" spans="1:15" x14ac:dyDescent="0.2">
      <c r="A58" s="1" t="s">
        <v>452</v>
      </c>
      <c r="B58" s="1" t="s">
        <v>453</v>
      </c>
      <c r="C58" s="1" t="s" vm="153">
        <v>1368</v>
      </c>
      <c r="D58" s="1" t="s" vm="153">
        <v>1368</v>
      </c>
      <c r="E58" s="1" t="s" vm="153">
        <v>1368</v>
      </c>
      <c r="F58" s="1" t="s">
        <v>1371</v>
      </c>
      <c r="G58" s="1" t="s">
        <v>1371</v>
      </c>
      <c r="H58" s="1" t="s">
        <v>1370</v>
      </c>
      <c r="I58" s="1" t="s">
        <v>1370</v>
      </c>
      <c r="J58" s="1" t="s">
        <v>1370</v>
      </c>
      <c r="K58" s="1" t="s">
        <v>1370</v>
      </c>
      <c r="L58" s="1" t="s">
        <v>1370</v>
      </c>
      <c r="M58" s="1" t="s">
        <v>1370</v>
      </c>
      <c r="N58" s="1" t="s">
        <v>1370</v>
      </c>
      <c r="O58" s="1" t="s">
        <v>1370</v>
      </c>
    </row>
    <row r="59" spans="1:15" x14ac:dyDescent="0.2">
      <c r="A59" s="1" t="s">
        <v>174</v>
      </c>
      <c r="B59" s="1" t="s">
        <v>175</v>
      </c>
      <c r="C59" s="1" t="s" vm="171">
        <v>1368</v>
      </c>
      <c r="D59" s="1" t="s" vm="171">
        <v>1368</v>
      </c>
      <c r="E59" s="1" t="s" vm="171">
        <v>1368</v>
      </c>
      <c r="F59" s="1" t="s">
        <v>1371</v>
      </c>
      <c r="G59" s="1" t="s">
        <v>1371</v>
      </c>
      <c r="H59" s="1" t="s">
        <v>1370</v>
      </c>
      <c r="I59" s="1" t="s">
        <v>1370</v>
      </c>
      <c r="J59" s="1" t="s">
        <v>1370</v>
      </c>
      <c r="K59" s="1" t="s">
        <v>1370</v>
      </c>
      <c r="L59" s="1" t="s">
        <v>1370</v>
      </c>
      <c r="M59" s="1" t="s">
        <v>1370</v>
      </c>
      <c r="N59" s="1" t="s">
        <v>1370</v>
      </c>
      <c r="O59" s="1" t="s">
        <v>1370</v>
      </c>
    </row>
    <row r="60" spans="1:15" x14ac:dyDescent="0.2">
      <c r="A60" s="1" t="s">
        <v>655</v>
      </c>
      <c r="B60" s="1" t="s">
        <v>656</v>
      </c>
      <c r="C60" s="1" t="s" vm="232">
        <v>1368</v>
      </c>
      <c r="D60" s="1" t="s" vm="232">
        <v>1368</v>
      </c>
      <c r="E60" s="1" t="s" vm="232">
        <v>1368</v>
      </c>
      <c r="F60" s="1" t="s">
        <v>1371</v>
      </c>
      <c r="G60" s="1" t="s">
        <v>1371</v>
      </c>
      <c r="H60" s="1" t="s">
        <v>1370</v>
      </c>
      <c r="I60" s="1" t="s">
        <v>1370</v>
      </c>
      <c r="J60" s="1" t="s">
        <v>1370</v>
      </c>
      <c r="K60" s="1" t="s">
        <v>1370</v>
      </c>
      <c r="L60" s="1" t="s">
        <v>1370</v>
      </c>
      <c r="M60" s="1" t="s">
        <v>1370</v>
      </c>
      <c r="N60" s="1" t="s">
        <v>1370</v>
      </c>
      <c r="O60" s="1" t="s">
        <v>1370</v>
      </c>
    </row>
    <row r="61" spans="1:15" x14ac:dyDescent="0.2">
      <c r="A61" s="1" t="s">
        <v>53</v>
      </c>
      <c r="B61" s="1" t="s">
        <v>54</v>
      </c>
      <c r="C61" s="1" t="s" vm="116">
        <v>1368</v>
      </c>
      <c r="D61" s="1" t="s" vm="116">
        <v>1368</v>
      </c>
      <c r="E61" s="1" t="s" vm="116">
        <v>1368</v>
      </c>
      <c r="F61" s="1" t="s">
        <v>1371</v>
      </c>
      <c r="G61" s="1" t="s">
        <v>1371</v>
      </c>
      <c r="H61" s="1" t="s">
        <v>1370</v>
      </c>
      <c r="I61" s="1" t="s">
        <v>1370</v>
      </c>
      <c r="J61" s="1" t="s">
        <v>1370</v>
      </c>
      <c r="K61" s="1" t="s">
        <v>1370</v>
      </c>
      <c r="L61" s="1" t="s">
        <v>1370</v>
      </c>
      <c r="M61" s="1" t="s">
        <v>1370</v>
      </c>
      <c r="N61" s="1" t="s">
        <v>1370</v>
      </c>
      <c r="O61" s="1" t="s">
        <v>1370</v>
      </c>
    </row>
    <row r="62" spans="1:15" x14ac:dyDescent="0.2">
      <c r="A62" s="1" t="s">
        <v>460</v>
      </c>
      <c r="B62" s="1" t="s">
        <v>461</v>
      </c>
      <c r="C62" s="1" t="s" vm="230">
        <v>1368</v>
      </c>
      <c r="D62" s="1" t="s" vm="230">
        <v>1368</v>
      </c>
      <c r="E62" s="1" t="s" vm="230">
        <v>1368</v>
      </c>
      <c r="F62" s="1" t="s">
        <v>1371</v>
      </c>
      <c r="G62" s="1" t="s">
        <v>1371</v>
      </c>
      <c r="H62" s="1" t="s">
        <v>1370</v>
      </c>
      <c r="I62" s="1" t="s">
        <v>1370</v>
      </c>
      <c r="J62" s="1" t="s">
        <v>1370</v>
      </c>
      <c r="K62" s="1" t="s">
        <v>1370</v>
      </c>
      <c r="L62" s="1" t="s">
        <v>1370</v>
      </c>
      <c r="M62" s="1" t="s">
        <v>1370</v>
      </c>
      <c r="N62" s="1" t="s">
        <v>1370</v>
      </c>
      <c r="O62" s="1" t="s">
        <v>1370</v>
      </c>
    </row>
    <row r="63" spans="1:15" x14ac:dyDescent="0.2">
      <c r="A63" s="1" t="s">
        <v>538</v>
      </c>
      <c r="B63" s="1" t="s">
        <v>539</v>
      </c>
      <c r="C63" s="1" t="s" vm="118">
        <v>1368</v>
      </c>
      <c r="D63" s="1" t="s" vm="118">
        <v>1368</v>
      </c>
      <c r="E63" s="1" t="s" vm="118">
        <v>1368</v>
      </c>
      <c r="F63" s="1" t="s">
        <v>1371</v>
      </c>
      <c r="G63" s="1" t="s">
        <v>1371</v>
      </c>
      <c r="H63" s="1" t="s">
        <v>1370</v>
      </c>
      <c r="I63" s="1" t="s">
        <v>1370</v>
      </c>
      <c r="J63" s="1" t="s">
        <v>1370</v>
      </c>
      <c r="K63" s="1" t="s">
        <v>1370</v>
      </c>
      <c r="L63" s="1" t="s">
        <v>1370</v>
      </c>
      <c r="M63" s="1" t="s">
        <v>1370</v>
      </c>
      <c r="N63" s="1" t="s">
        <v>1370</v>
      </c>
      <c r="O63" s="1" t="s">
        <v>1370</v>
      </c>
    </row>
    <row r="64" spans="1:15" x14ac:dyDescent="0.2">
      <c r="A64" s="1" t="s">
        <v>448</v>
      </c>
      <c r="B64" s="1" t="s">
        <v>449</v>
      </c>
      <c r="C64" s="1" t="s" vm="174">
        <v>1368</v>
      </c>
      <c r="D64" s="1" t="s" vm="174">
        <v>1368</v>
      </c>
      <c r="E64" s="1" t="s" vm="174">
        <v>1368</v>
      </c>
      <c r="F64" s="1" t="s">
        <v>1371</v>
      </c>
      <c r="G64" s="1" t="s">
        <v>1371</v>
      </c>
      <c r="H64" s="1" t="s">
        <v>1370</v>
      </c>
      <c r="I64" s="1" t="s">
        <v>1370</v>
      </c>
      <c r="J64" s="1" t="s">
        <v>1370</v>
      </c>
      <c r="K64" s="1" t="s">
        <v>1370</v>
      </c>
      <c r="L64" s="1" t="s">
        <v>1370</v>
      </c>
      <c r="M64" s="1" t="s">
        <v>1370</v>
      </c>
      <c r="N64" s="1" t="s">
        <v>1370</v>
      </c>
      <c r="O64" s="1" t="s">
        <v>1370</v>
      </c>
    </row>
    <row r="65" spans="1:15" x14ac:dyDescent="0.2">
      <c r="A65" s="1" t="s">
        <v>94</v>
      </c>
      <c r="B65" s="1" t="s">
        <v>95</v>
      </c>
      <c r="C65" s="1" t="s" vm="231">
        <v>1368</v>
      </c>
      <c r="D65" s="1" t="s" vm="231">
        <v>1368</v>
      </c>
      <c r="E65" s="1" t="s" vm="231">
        <v>1368</v>
      </c>
      <c r="F65" s="1" t="s">
        <v>1371</v>
      </c>
      <c r="G65" s="1" t="s">
        <v>1371</v>
      </c>
      <c r="H65" s="1" t="s">
        <v>1370</v>
      </c>
      <c r="I65" s="1" t="s">
        <v>1370</v>
      </c>
      <c r="J65" s="1" t="s">
        <v>1370</v>
      </c>
      <c r="K65" s="1" t="s">
        <v>1370</v>
      </c>
      <c r="L65" s="1" t="s">
        <v>1370</v>
      </c>
      <c r="M65" s="1" t="s">
        <v>1370</v>
      </c>
      <c r="N65" s="1" t="s">
        <v>1370</v>
      </c>
      <c r="O65" s="1" t="s">
        <v>1370</v>
      </c>
    </row>
    <row r="66" spans="1:15" x14ac:dyDescent="0.2">
      <c r="A66" s="1" t="s">
        <v>484</v>
      </c>
      <c r="B66" s="1" t="s">
        <v>485</v>
      </c>
      <c r="C66" s="1" t="s" vm="120">
        <v>1368</v>
      </c>
      <c r="D66" s="1" t="s" vm="120">
        <v>1368</v>
      </c>
      <c r="E66" s="1" t="s" vm="120">
        <v>1368</v>
      </c>
      <c r="F66" s="1" t="s">
        <v>1371</v>
      </c>
      <c r="G66" s="1" t="s">
        <v>1371</v>
      </c>
      <c r="H66" s="1" t="s">
        <v>1370</v>
      </c>
      <c r="I66" s="1" t="s">
        <v>1370</v>
      </c>
      <c r="J66" s="1" t="s">
        <v>1370</v>
      </c>
      <c r="K66" s="1" t="s">
        <v>1370</v>
      </c>
      <c r="L66" s="1" t="s">
        <v>1370</v>
      </c>
      <c r="M66" s="1" t="s">
        <v>1370</v>
      </c>
      <c r="N66" s="1" t="s">
        <v>1370</v>
      </c>
      <c r="O66" s="1" t="s">
        <v>1370</v>
      </c>
    </row>
    <row r="67" spans="1:15" x14ac:dyDescent="0.2">
      <c r="A67" s="1" t="s">
        <v>482</v>
      </c>
      <c r="B67" s="1" t="s">
        <v>483</v>
      </c>
      <c r="C67" s="1" t="s" vm="158">
        <v>1368</v>
      </c>
      <c r="D67" s="1" t="s" vm="158">
        <v>1368</v>
      </c>
      <c r="E67" s="1" t="s" vm="158">
        <v>1368</v>
      </c>
      <c r="F67" s="1" t="s">
        <v>1371</v>
      </c>
      <c r="G67" s="1" t="s">
        <v>1371</v>
      </c>
      <c r="H67" s="1" t="s">
        <v>1370</v>
      </c>
      <c r="I67" s="1" t="s">
        <v>1370</v>
      </c>
      <c r="J67" s="1" t="s">
        <v>1370</v>
      </c>
      <c r="K67" s="1" t="s">
        <v>1370</v>
      </c>
      <c r="L67" s="1" t="s">
        <v>1370</v>
      </c>
      <c r="M67" s="1" t="s">
        <v>1370</v>
      </c>
      <c r="N67" s="1" t="s">
        <v>1370</v>
      </c>
      <c r="O67" s="1" t="s">
        <v>1370</v>
      </c>
    </row>
    <row r="68" spans="1:15" x14ac:dyDescent="0.2">
      <c r="A68" s="1" t="s">
        <v>559</v>
      </c>
      <c r="B68" s="1" t="s">
        <v>1133</v>
      </c>
      <c r="C68" s="1" t="s" vm="173">
        <v>1368</v>
      </c>
      <c r="D68" s="1" t="s" vm="173">
        <v>1368</v>
      </c>
      <c r="E68" s="1" t="s" vm="173">
        <v>1368</v>
      </c>
      <c r="F68" s="1" t="s">
        <v>1371</v>
      </c>
      <c r="G68" s="1" t="s">
        <v>1371</v>
      </c>
      <c r="H68" s="1" t="s">
        <v>1370</v>
      </c>
      <c r="I68" s="1" t="s">
        <v>1370</v>
      </c>
      <c r="J68" s="1" t="s">
        <v>1370</v>
      </c>
      <c r="K68" s="1" t="s">
        <v>1370</v>
      </c>
      <c r="L68" s="1" t="s">
        <v>1370</v>
      </c>
      <c r="M68" s="1" t="s">
        <v>1370</v>
      </c>
      <c r="N68" s="1" t="s">
        <v>1370</v>
      </c>
      <c r="O68" s="1" t="s">
        <v>1370</v>
      </c>
    </row>
    <row r="69" spans="1:15" x14ac:dyDescent="0.2">
      <c r="A69" s="1" t="s">
        <v>593</v>
      </c>
      <c r="B69" s="1" t="s">
        <v>1122</v>
      </c>
      <c r="C69" s="1" t="s" vm="234">
        <v>1368</v>
      </c>
      <c r="D69" s="1" t="s" vm="234">
        <v>1368</v>
      </c>
      <c r="E69" s="1" t="s" vm="234">
        <v>1368</v>
      </c>
      <c r="F69" s="1" t="s">
        <v>1371</v>
      </c>
      <c r="G69" s="1" t="s">
        <v>1371</v>
      </c>
      <c r="H69" s="1" t="s">
        <v>1370</v>
      </c>
      <c r="I69" s="1" t="s">
        <v>1370</v>
      </c>
      <c r="J69" s="1" t="s">
        <v>1370</v>
      </c>
      <c r="K69" s="1" t="s">
        <v>1370</v>
      </c>
      <c r="L69" s="1" t="s">
        <v>1370</v>
      </c>
      <c r="M69" s="1" t="s">
        <v>1370</v>
      </c>
      <c r="N69" s="1" t="s">
        <v>1370</v>
      </c>
      <c r="O69" s="1" t="s">
        <v>1370</v>
      </c>
    </row>
    <row r="70" spans="1:15" x14ac:dyDescent="0.2">
      <c r="A70" s="1" t="s">
        <v>88</v>
      </c>
      <c r="B70" s="1" t="s">
        <v>89</v>
      </c>
      <c r="C70" s="1" t="s" vm="122">
        <v>1368</v>
      </c>
      <c r="D70" s="1" t="s" vm="122">
        <v>1368</v>
      </c>
      <c r="E70" s="1" t="s" vm="122">
        <v>1368</v>
      </c>
      <c r="F70" s="1" t="s">
        <v>1371</v>
      </c>
      <c r="G70" s="1" t="s">
        <v>1371</v>
      </c>
      <c r="H70" s="1" t="s">
        <v>1370</v>
      </c>
      <c r="I70" s="1" t="s">
        <v>1370</v>
      </c>
      <c r="J70" s="1" t="s">
        <v>1370</v>
      </c>
      <c r="K70" s="1" t="s">
        <v>1370</v>
      </c>
      <c r="L70" s="1" t="s">
        <v>1370</v>
      </c>
      <c r="M70" s="1" t="s">
        <v>1370</v>
      </c>
      <c r="N70" s="1" t="s">
        <v>1370</v>
      </c>
      <c r="O70" s="1" t="s">
        <v>1370</v>
      </c>
    </row>
    <row r="71" spans="1:15" x14ac:dyDescent="0.2">
      <c r="A71" s="1" t="s">
        <v>556</v>
      </c>
      <c r="B71" s="1" t="s">
        <v>557</v>
      </c>
      <c r="C71" s="1" t="s" vm="159">
        <v>1368</v>
      </c>
      <c r="D71" s="1" t="s" vm="159">
        <v>1368</v>
      </c>
      <c r="E71" s="1" t="s" vm="159">
        <v>1368</v>
      </c>
      <c r="F71" s="1" t="s">
        <v>1371</v>
      </c>
      <c r="G71" s="1" t="s">
        <v>1371</v>
      </c>
      <c r="H71" s="1" t="s">
        <v>1370</v>
      </c>
      <c r="I71" s="1" t="s">
        <v>1370</v>
      </c>
      <c r="J71" s="1" t="s">
        <v>1370</v>
      </c>
      <c r="K71" s="1" t="s">
        <v>1370</v>
      </c>
      <c r="L71" s="1" t="s">
        <v>1370</v>
      </c>
      <c r="M71" s="1" t="s">
        <v>1370</v>
      </c>
      <c r="N71" s="1" t="s">
        <v>1370</v>
      </c>
      <c r="O71" s="1" t="s">
        <v>1370</v>
      </c>
    </row>
    <row r="72" spans="1:15" x14ac:dyDescent="0.2">
      <c r="A72" s="1" t="s">
        <v>72</v>
      </c>
      <c r="B72" s="1" t="s">
        <v>73</v>
      </c>
      <c r="C72" s="1" t="s" vm="175">
        <v>1368</v>
      </c>
      <c r="D72" s="1" t="s" vm="175">
        <v>1368</v>
      </c>
      <c r="E72" s="1" t="s" vm="175">
        <v>1368</v>
      </c>
      <c r="F72" s="1" t="s">
        <v>1371</v>
      </c>
      <c r="G72" s="1" t="s">
        <v>1371</v>
      </c>
      <c r="H72" s="1" t="s">
        <v>1370</v>
      </c>
      <c r="I72" s="1" t="s">
        <v>1370</v>
      </c>
      <c r="J72" s="1" t="s">
        <v>1370</v>
      </c>
      <c r="K72" s="1" t="s">
        <v>1370</v>
      </c>
      <c r="L72" s="1" t="s">
        <v>1370</v>
      </c>
      <c r="M72" s="1" t="s">
        <v>1370</v>
      </c>
      <c r="N72" s="1" t="s">
        <v>1370</v>
      </c>
      <c r="O72" s="1" t="s">
        <v>1370</v>
      </c>
    </row>
    <row r="73" spans="1:15" x14ac:dyDescent="0.2">
      <c r="A73" s="1" t="s">
        <v>413</v>
      </c>
      <c r="B73" s="1" t="s">
        <v>414</v>
      </c>
      <c r="C73" s="1" t="s" vm="233">
        <v>1368</v>
      </c>
      <c r="D73" s="1" t="s" vm="233">
        <v>1368</v>
      </c>
      <c r="E73" s="1" t="s" vm="233">
        <v>1368</v>
      </c>
      <c r="F73" s="1" t="s">
        <v>1371</v>
      </c>
      <c r="G73" s="1" t="s">
        <v>1371</v>
      </c>
      <c r="H73" s="1" t="s">
        <v>1370</v>
      </c>
      <c r="I73" s="1" t="s">
        <v>1370</v>
      </c>
      <c r="J73" s="1" t="s">
        <v>1370</v>
      </c>
      <c r="K73" s="1" t="s">
        <v>1370</v>
      </c>
      <c r="L73" s="1" t="s">
        <v>1370</v>
      </c>
      <c r="M73" s="1" t="s">
        <v>1370</v>
      </c>
      <c r="N73" s="1" t="s">
        <v>1370</v>
      </c>
      <c r="O73" s="1" t="s">
        <v>1370</v>
      </c>
    </row>
    <row r="74" spans="1:15" x14ac:dyDescent="0.2">
      <c r="A74" s="1" t="s">
        <v>147</v>
      </c>
      <c r="B74" s="1" t="s">
        <v>148</v>
      </c>
      <c r="C74" s="1" t="s" vm="160">
        <v>1368</v>
      </c>
      <c r="D74" s="1" t="s" vm="160">
        <v>1368</v>
      </c>
      <c r="E74" s="1" t="s" vm="160">
        <v>1368</v>
      </c>
      <c r="F74" s="1" t="s">
        <v>1371</v>
      </c>
      <c r="G74" s="1" t="s">
        <v>1371</v>
      </c>
      <c r="H74" s="1" t="s">
        <v>1370</v>
      </c>
      <c r="I74" s="1" t="s">
        <v>1370</v>
      </c>
      <c r="J74" s="1" t="s">
        <v>1370</v>
      </c>
      <c r="K74" s="1" t="s">
        <v>1370</v>
      </c>
      <c r="L74" s="1" t="s">
        <v>1370</v>
      </c>
      <c r="M74" s="1" t="s">
        <v>1370</v>
      </c>
      <c r="N74" s="1" t="s">
        <v>1370</v>
      </c>
      <c r="O74" s="1" t="s">
        <v>1370</v>
      </c>
    </row>
    <row r="75" spans="1:15" x14ac:dyDescent="0.2">
      <c r="A75" s="1" t="s">
        <v>162</v>
      </c>
      <c r="B75" s="1" t="s">
        <v>163</v>
      </c>
      <c r="C75" s="1" t="s" vm="176">
        <v>1368</v>
      </c>
      <c r="D75" s="1" t="s" vm="176">
        <v>1368</v>
      </c>
      <c r="E75" s="1" t="s" vm="176">
        <v>1368</v>
      </c>
      <c r="F75" s="1" t="s">
        <v>1371</v>
      </c>
      <c r="G75" s="1" t="s">
        <v>1371</v>
      </c>
      <c r="H75" s="1" t="s">
        <v>1370</v>
      </c>
      <c r="I75" s="1" t="s">
        <v>1370</v>
      </c>
      <c r="J75" s="1" t="s">
        <v>1370</v>
      </c>
      <c r="K75" s="1" t="s">
        <v>1370</v>
      </c>
      <c r="L75" s="1" t="s">
        <v>1370</v>
      </c>
      <c r="M75" s="1" t="s">
        <v>1370</v>
      </c>
      <c r="N75" s="1" t="s">
        <v>1370</v>
      </c>
      <c r="O75" s="1" t="s">
        <v>1370</v>
      </c>
    </row>
    <row r="76" spans="1:15" x14ac:dyDescent="0.2">
      <c r="A76" s="1" t="s">
        <v>165</v>
      </c>
      <c r="B76" s="1" t="s">
        <v>166</v>
      </c>
      <c r="C76" s="1" t="s" vm="236">
        <v>1368</v>
      </c>
      <c r="D76" s="1" t="s" vm="236">
        <v>1368</v>
      </c>
      <c r="E76" s="1" t="s" vm="236">
        <v>1368</v>
      </c>
      <c r="F76" s="1" t="s">
        <v>1371</v>
      </c>
      <c r="G76" s="1" t="s">
        <v>1371</v>
      </c>
      <c r="H76" s="1" t="s">
        <v>1370</v>
      </c>
      <c r="I76" s="1" t="s">
        <v>1370</v>
      </c>
      <c r="J76" s="1" t="s">
        <v>1370</v>
      </c>
      <c r="K76" s="1" t="s">
        <v>1370</v>
      </c>
      <c r="L76" s="1" t="s">
        <v>1370</v>
      </c>
      <c r="M76" s="1" t="s">
        <v>1370</v>
      </c>
      <c r="N76" s="1" t="s">
        <v>1370</v>
      </c>
      <c r="O76" s="1" t="s">
        <v>1370</v>
      </c>
    </row>
    <row r="77" spans="1:15" x14ac:dyDescent="0.2">
      <c r="A77" s="1" t="s">
        <v>475</v>
      </c>
      <c r="B77" s="1" t="s">
        <v>1055</v>
      </c>
      <c r="C77" s="1" t="s" vm="125">
        <v>1368</v>
      </c>
      <c r="D77" s="1" t="s" vm="125">
        <v>1368</v>
      </c>
      <c r="E77" s="1" t="s" vm="125">
        <v>1368</v>
      </c>
      <c r="F77" s="1" t="s">
        <v>1371</v>
      </c>
      <c r="G77" s="1" t="s">
        <v>1371</v>
      </c>
      <c r="H77" s="1" t="s">
        <v>1370</v>
      </c>
      <c r="I77" s="1" t="s">
        <v>1370</v>
      </c>
      <c r="J77" s="1" t="s">
        <v>1370</v>
      </c>
      <c r="K77" s="1" t="s">
        <v>1370</v>
      </c>
      <c r="L77" s="1" t="s">
        <v>1370</v>
      </c>
      <c r="M77" s="1" t="s">
        <v>1370</v>
      </c>
      <c r="N77" s="1" t="s">
        <v>1370</v>
      </c>
      <c r="O77" s="1" t="s">
        <v>1370</v>
      </c>
    </row>
    <row r="78" spans="1:15" x14ac:dyDescent="0.2">
      <c r="A78" s="1" t="s">
        <v>108</v>
      </c>
      <c r="B78" s="1" t="s">
        <v>109</v>
      </c>
      <c r="C78" s="1" t="s" vm="161">
        <v>1368</v>
      </c>
      <c r="D78" s="1" t="s" vm="161">
        <v>1368</v>
      </c>
      <c r="E78" s="1" t="s" vm="161">
        <v>1368</v>
      </c>
      <c r="F78" s="1" t="s">
        <v>1371</v>
      </c>
      <c r="G78" s="1" t="s">
        <v>1371</v>
      </c>
      <c r="H78" s="1" t="s">
        <v>1370</v>
      </c>
      <c r="I78" s="1" t="s">
        <v>1370</v>
      </c>
      <c r="J78" s="1" t="s">
        <v>1370</v>
      </c>
      <c r="K78" s="1" t="s">
        <v>1370</v>
      </c>
      <c r="L78" s="1" t="s">
        <v>1370</v>
      </c>
      <c r="M78" s="1" t="s">
        <v>1370</v>
      </c>
      <c r="N78" s="1" t="s">
        <v>1370</v>
      </c>
      <c r="O78" s="1" t="s">
        <v>1370</v>
      </c>
    </row>
    <row r="79" spans="1:15" x14ac:dyDescent="0.2">
      <c r="A79" s="1" t="s">
        <v>168</v>
      </c>
      <c r="B79" s="1" t="s">
        <v>169</v>
      </c>
      <c r="C79" s="1" t="s" vm="178">
        <v>1368</v>
      </c>
      <c r="D79" s="1" t="s" vm="178">
        <v>1368</v>
      </c>
      <c r="E79" s="1" t="s" vm="178">
        <v>1368</v>
      </c>
      <c r="F79" s="1" t="s">
        <v>1371</v>
      </c>
      <c r="G79" s="1" t="s">
        <v>1371</v>
      </c>
      <c r="H79" s="1" t="s">
        <v>1370</v>
      </c>
      <c r="I79" s="1" t="s">
        <v>1370</v>
      </c>
      <c r="J79" s="1" t="s">
        <v>1370</v>
      </c>
      <c r="K79" s="1" t="s">
        <v>1370</v>
      </c>
      <c r="L79" s="1" t="s">
        <v>1370</v>
      </c>
      <c r="M79" s="1" t="s">
        <v>1370</v>
      </c>
      <c r="N79" s="1" t="s">
        <v>1370</v>
      </c>
      <c r="O79" s="1" t="s">
        <v>1370</v>
      </c>
    </row>
    <row r="80" spans="1:15" x14ac:dyDescent="0.2">
      <c r="A80" s="1" t="s">
        <v>37</v>
      </c>
      <c r="B80" s="1" t="s">
        <v>38</v>
      </c>
      <c r="C80" s="1" t="s" vm="235">
        <v>1368</v>
      </c>
      <c r="D80" s="1" t="s" vm="235">
        <v>1368</v>
      </c>
      <c r="E80" s="1" t="s" vm="235">
        <v>1368</v>
      </c>
      <c r="F80" s="1" t="s">
        <v>1371</v>
      </c>
      <c r="G80" s="1" t="s">
        <v>1371</v>
      </c>
      <c r="H80" s="1" t="s">
        <v>1370</v>
      </c>
      <c r="I80" s="1" t="s">
        <v>1370</v>
      </c>
      <c r="J80" s="1" t="s">
        <v>1370</v>
      </c>
      <c r="K80" s="1" t="s">
        <v>1370</v>
      </c>
      <c r="L80" s="1" t="s">
        <v>1370</v>
      </c>
      <c r="M80" s="1" t="s">
        <v>1370</v>
      </c>
      <c r="N80" s="1" t="s">
        <v>1370</v>
      </c>
      <c r="O80" s="1" t="s">
        <v>1370</v>
      </c>
    </row>
    <row r="81" spans="1:15" x14ac:dyDescent="0.2">
      <c r="A81" s="1" t="s">
        <v>291</v>
      </c>
      <c r="B81" s="1" t="s">
        <v>292</v>
      </c>
      <c r="C81" s="1" t="s" vm="162">
        <v>1368</v>
      </c>
      <c r="D81" s="1" t="s" vm="162">
        <v>1368</v>
      </c>
      <c r="E81" s="1" t="s" vm="162">
        <v>1368</v>
      </c>
      <c r="F81" s="1" t="s">
        <v>1371</v>
      </c>
      <c r="G81" s="1" t="s">
        <v>1371</v>
      </c>
      <c r="H81" s="1" t="s">
        <v>1370</v>
      </c>
      <c r="I81" s="1" t="s">
        <v>1370</v>
      </c>
      <c r="J81" s="1" t="s">
        <v>1370</v>
      </c>
      <c r="K81" s="1" t="s">
        <v>1370</v>
      </c>
      <c r="L81" s="1" t="s">
        <v>1370</v>
      </c>
      <c r="M81" s="1" t="s">
        <v>1370</v>
      </c>
      <c r="N81" s="1" t="s">
        <v>1370</v>
      </c>
      <c r="O81" s="1" t="s">
        <v>1370</v>
      </c>
    </row>
    <row r="82" spans="1:15" x14ac:dyDescent="0.2">
      <c r="A82" s="1" t="s">
        <v>219</v>
      </c>
      <c r="B82" s="1" t="s">
        <v>220</v>
      </c>
      <c r="C82" s="1" t="s" vm="177">
        <v>1368</v>
      </c>
      <c r="D82" s="1" t="s" vm="177">
        <v>1368</v>
      </c>
      <c r="E82" s="1" t="s" vm="177">
        <v>1368</v>
      </c>
      <c r="F82" s="1" t="s">
        <v>1371</v>
      </c>
      <c r="G82" s="1" t="s">
        <v>1371</v>
      </c>
      <c r="H82" s="1" t="s">
        <v>1370</v>
      </c>
      <c r="I82" s="1" t="s">
        <v>1370</v>
      </c>
      <c r="J82" s="1" t="s">
        <v>1370</v>
      </c>
      <c r="K82" s="1" t="s">
        <v>1370</v>
      </c>
      <c r="L82" s="1" t="s">
        <v>1370</v>
      </c>
      <c r="M82" s="1" t="s">
        <v>1370</v>
      </c>
      <c r="N82" s="1" t="s">
        <v>1370</v>
      </c>
      <c r="O82" s="1" t="s">
        <v>1370</v>
      </c>
    </row>
    <row r="83" spans="1:15" x14ac:dyDescent="0.2">
      <c r="A83" s="1" t="s">
        <v>407</v>
      </c>
      <c r="B83" s="1" t="s">
        <v>408</v>
      </c>
      <c r="C83" s="1" t="s" vm="237">
        <v>1368</v>
      </c>
      <c r="D83" s="1" t="s" vm="237">
        <v>1368</v>
      </c>
      <c r="E83" s="1" t="s" vm="237">
        <v>1368</v>
      </c>
      <c r="F83" s="1" t="s">
        <v>1371</v>
      </c>
      <c r="G83" s="1" t="s">
        <v>1371</v>
      </c>
      <c r="H83" s="1" t="s">
        <v>1370</v>
      </c>
      <c r="I83" s="1" t="s">
        <v>1370</v>
      </c>
      <c r="J83" s="1" t="s">
        <v>1370</v>
      </c>
      <c r="K83" s="1" t="s">
        <v>1370</v>
      </c>
      <c r="L83" s="1" t="s">
        <v>1370</v>
      </c>
      <c r="M83" s="1" t="s">
        <v>1370</v>
      </c>
      <c r="N83" s="1" t="s">
        <v>1370</v>
      </c>
      <c r="O83" s="1" t="s">
        <v>1370</v>
      </c>
    </row>
    <row r="84" spans="1:15" x14ac:dyDescent="0.2">
      <c r="A84" s="1" t="s">
        <v>364</v>
      </c>
      <c r="B84" s="1" t="s">
        <v>1435</v>
      </c>
      <c r="C84" s="1" t="s" vm="127">
        <v>1368</v>
      </c>
      <c r="D84" s="1" t="s" vm="127">
        <v>1368</v>
      </c>
      <c r="E84" s="1" t="s" vm="127">
        <v>1368</v>
      </c>
      <c r="F84" s="1" t="s">
        <v>1371</v>
      </c>
      <c r="G84" s="1" t="s">
        <v>1371</v>
      </c>
      <c r="H84" s="1" t="s">
        <v>1370</v>
      </c>
      <c r="I84" s="1" t="s">
        <v>1370</v>
      </c>
      <c r="J84" s="1" t="s">
        <v>1370</v>
      </c>
      <c r="K84" s="1" t="s">
        <v>1370</v>
      </c>
      <c r="L84" s="1" t="s">
        <v>1370</v>
      </c>
      <c r="M84" s="1" t="s">
        <v>1370</v>
      </c>
      <c r="N84" s="1" t="s">
        <v>1370</v>
      </c>
      <c r="O84" s="1" t="s">
        <v>1370</v>
      </c>
    </row>
    <row r="85" spans="1:15" x14ac:dyDescent="0.2">
      <c r="A85" s="1" t="s">
        <v>410</v>
      </c>
      <c r="B85" s="1" t="s">
        <v>411</v>
      </c>
      <c r="C85" s="1" t="s" vm="180">
        <v>1368</v>
      </c>
      <c r="D85" s="1" t="s" vm="180">
        <v>1368</v>
      </c>
      <c r="E85" s="1" t="s" vm="180">
        <v>1368</v>
      </c>
      <c r="F85" s="1" t="s">
        <v>1371</v>
      </c>
      <c r="G85" s="1" t="s">
        <v>1371</v>
      </c>
      <c r="H85" s="1" t="s">
        <v>1370</v>
      </c>
      <c r="I85" s="1" t="s">
        <v>1370</v>
      </c>
      <c r="J85" s="1" t="s">
        <v>1370</v>
      </c>
      <c r="K85" s="1" t="s">
        <v>1370</v>
      </c>
      <c r="L85" s="1" t="s">
        <v>1370</v>
      </c>
      <c r="M85" s="1" t="s">
        <v>1370</v>
      </c>
      <c r="N85" s="1" t="s">
        <v>1370</v>
      </c>
      <c r="O85" s="1" t="s">
        <v>1370</v>
      </c>
    </row>
    <row r="86" spans="1:15" x14ac:dyDescent="0.2">
      <c r="A86" s="1" t="s">
        <v>619</v>
      </c>
      <c r="B86" s="1" t="s">
        <v>620</v>
      </c>
      <c r="C86" s="1" t="s" vm="129">
        <v>1368</v>
      </c>
      <c r="D86" s="1" t="s" vm="129">
        <v>1368</v>
      </c>
      <c r="E86" s="1" t="s" vm="129">
        <v>1368</v>
      </c>
      <c r="F86" s="1" t="s">
        <v>1371</v>
      </c>
      <c r="G86" s="1" t="s">
        <v>1371</v>
      </c>
      <c r="H86" s="1" t="s">
        <v>1370</v>
      </c>
      <c r="I86" s="1" t="s">
        <v>1370</v>
      </c>
      <c r="J86" s="1" t="s">
        <v>1370</v>
      </c>
      <c r="K86" s="1" t="s">
        <v>1370</v>
      </c>
      <c r="L86" s="1" t="s">
        <v>1370</v>
      </c>
      <c r="M86" s="1" t="s">
        <v>1370</v>
      </c>
      <c r="N86" s="1" t="s">
        <v>1370</v>
      </c>
      <c r="O86" s="1" t="s">
        <v>1370</v>
      </c>
    </row>
    <row r="87" spans="1:15" x14ac:dyDescent="0.2">
      <c r="A87" s="1" t="s">
        <v>369</v>
      </c>
      <c r="B87" s="1" t="s">
        <v>370</v>
      </c>
      <c r="C87" s="1" t="s" vm="164">
        <v>1368</v>
      </c>
      <c r="D87" s="1" t="s" vm="164">
        <v>1368</v>
      </c>
      <c r="E87" s="1" t="s" vm="164">
        <v>1368</v>
      </c>
      <c r="F87" s="1" t="s">
        <v>1371</v>
      </c>
      <c r="G87" s="1" t="s">
        <v>1371</v>
      </c>
      <c r="H87" s="1" t="s">
        <v>1370</v>
      </c>
      <c r="I87" s="1" t="s">
        <v>1370</v>
      </c>
      <c r="J87" s="1" t="s">
        <v>1370</v>
      </c>
      <c r="K87" s="1" t="s">
        <v>1370</v>
      </c>
      <c r="L87" s="1" t="s">
        <v>1370</v>
      </c>
      <c r="M87" s="1" t="s">
        <v>1370</v>
      </c>
      <c r="N87" s="1" t="s">
        <v>1370</v>
      </c>
      <c r="O87" s="1" t="s">
        <v>1370</v>
      </c>
    </row>
    <row r="88" spans="1:15" x14ac:dyDescent="0.2">
      <c r="A88" s="1" t="s">
        <v>432</v>
      </c>
      <c r="B88" s="1" t="s">
        <v>433</v>
      </c>
      <c r="C88" s="1" t="s" vm="179">
        <v>1368</v>
      </c>
      <c r="D88" s="1" t="s" vm="179">
        <v>1368</v>
      </c>
      <c r="E88" s="1" t="s" vm="179">
        <v>1368</v>
      </c>
      <c r="F88" s="1" t="s">
        <v>1371</v>
      </c>
      <c r="G88" s="1" t="s">
        <v>1371</v>
      </c>
      <c r="H88" s="1" t="s">
        <v>1370</v>
      </c>
      <c r="I88" s="1" t="s">
        <v>1370</v>
      </c>
      <c r="J88" s="1" t="s">
        <v>1370</v>
      </c>
      <c r="K88" s="1" t="s">
        <v>1370</v>
      </c>
      <c r="L88" s="1" t="s">
        <v>1370</v>
      </c>
      <c r="M88" s="1" t="s">
        <v>1370</v>
      </c>
      <c r="N88" s="1" t="s">
        <v>1370</v>
      </c>
      <c r="O88" s="1" t="s">
        <v>1370</v>
      </c>
    </row>
    <row r="89" spans="1:15" x14ac:dyDescent="0.2">
      <c r="A89" s="1" t="s">
        <v>546</v>
      </c>
      <c r="B89" s="1" t="s">
        <v>547</v>
      </c>
      <c r="C89" s="1" t="s" vm="240">
        <v>1368</v>
      </c>
      <c r="D89" s="1" t="s" vm="240">
        <v>1368</v>
      </c>
      <c r="E89" s="1" t="s" vm="240">
        <v>1368</v>
      </c>
      <c r="F89" s="1" t="s">
        <v>1371</v>
      </c>
      <c r="G89" s="1" t="s">
        <v>1371</v>
      </c>
      <c r="H89" s="1" t="s">
        <v>1370</v>
      </c>
      <c r="I89" s="1" t="s">
        <v>1370</v>
      </c>
      <c r="J89" s="1" t="s">
        <v>1370</v>
      </c>
      <c r="K89" s="1" t="s">
        <v>1370</v>
      </c>
      <c r="L89" s="1" t="s">
        <v>1370</v>
      </c>
      <c r="M89" s="1" t="s">
        <v>1370</v>
      </c>
      <c r="N89" s="1" t="s">
        <v>1370</v>
      </c>
      <c r="O89" s="1" t="s">
        <v>1370</v>
      </c>
    </row>
    <row r="90" spans="1:15" x14ac:dyDescent="0.2">
      <c r="A90" s="1" t="s">
        <v>303</v>
      </c>
      <c r="B90" s="1" t="s">
        <v>304</v>
      </c>
      <c r="C90" s="1" t="s" vm="130">
        <v>1368</v>
      </c>
      <c r="D90" s="1" t="s" vm="130">
        <v>1368</v>
      </c>
      <c r="E90" s="1" t="s" vm="130">
        <v>1368</v>
      </c>
      <c r="F90" s="1" t="s">
        <v>1371</v>
      </c>
      <c r="G90" s="1" t="s">
        <v>1371</v>
      </c>
      <c r="H90" s="1" t="s">
        <v>1370</v>
      </c>
      <c r="I90" s="1" t="s">
        <v>1370</v>
      </c>
      <c r="J90" s="1" t="s">
        <v>1370</v>
      </c>
      <c r="K90" s="1" t="s">
        <v>1370</v>
      </c>
      <c r="L90" s="1" t="s">
        <v>1370</v>
      </c>
      <c r="M90" s="1" t="s">
        <v>1370</v>
      </c>
      <c r="N90" s="1" t="s">
        <v>1370</v>
      </c>
      <c r="O90" s="1" t="s">
        <v>1370</v>
      </c>
    </row>
    <row r="91" spans="1:15" x14ac:dyDescent="0.2">
      <c r="A91" s="1" t="s">
        <v>585</v>
      </c>
      <c r="B91" s="1" t="s">
        <v>874</v>
      </c>
      <c r="C91" s="1" t="s" vm="165">
        <v>1368</v>
      </c>
      <c r="D91" s="1" t="s" vm="165">
        <v>1368</v>
      </c>
      <c r="E91" s="1" t="s" vm="165">
        <v>1368</v>
      </c>
      <c r="F91" s="1" t="s">
        <v>1371</v>
      </c>
      <c r="G91" s="1" t="s">
        <v>1371</v>
      </c>
      <c r="H91" s="1" t="s">
        <v>1370</v>
      </c>
      <c r="I91" s="1" t="s">
        <v>1370</v>
      </c>
      <c r="J91" s="1" t="s">
        <v>1370</v>
      </c>
      <c r="K91" s="1" t="s">
        <v>1370</v>
      </c>
      <c r="L91" s="1" t="s">
        <v>1370</v>
      </c>
      <c r="M91" s="1" t="s">
        <v>1370</v>
      </c>
      <c r="N91" s="1" t="s">
        <v>1370</v>
      </c>
      <c r="O91" s="1" t="s">
        <v>1370</v>
      </c>
    </row>
    <row r="92" spans="1:15" x14ac:dyDescent="0.2">
      <c r="A92" s="1" t="s">
        <v>360</v>
      </c>
      <c r="B92" s="1" t="s">
        <v>361</v>
      </c>
      <c r="C92" s="1" t="s" vm="183">
        <v>1368</v>
      </c>
      <c r="D92" s="1" t="s" vm="183">
        <v>1368</v>
      </c>
      <c r="E92" s="1" t="s" vm="183">
        <v>1368</v>
      </c>
      <c r="F92" s="1" t="s">
        <v>1371</v>
      </c>
      <c r="G92" s="1" t="s">
        <v>1371</v>
      </c>
      <c r="H92" s="1" t="s">
        <v>1370</v>
      </c>
      <c r="I92" s="1" t="s">
        <v>1370</v>
      </c>
      <c r="J92" s="1" t="s">
        <v>1370</v>
      </c>
      <c r="K92" s="1" t="s">
        <v>1370</v>
      </c>
      <c r="L92" s="1" t="s">
        <v>1370</v>
      </c>
      <c r="M92" s="1" t="s">
        <v>1370</v>
      </c>
      <c r="N92" s="1" t="s">
        <v>1370</v>
      </c>
      <c r="O92" s="1" t="s">
        <v>1370</v>
      </c>
    </row>
    <row r="93" spans="1:15" x14ac:dyDescent="0.2">
      <c r="A93" s="1" t="s">
        <v>223</v>
      </c>
      <c r="B93" s="1" t="s">
        <v>224</v>
      </c>
      <c r="C93" s="1" t="s" vm="239">
        <v>1368</v>
      </c>
      <c r="D93" s="1" t="s" vm="239">
        <v>1368</v>
      </c>
      <c r="E93" s="1" t="s" vm="239">
        <v>1368</v>
      </c>
      <c r="F93" s="1" t="s">
        <v>1371</v>
      </c>
      <c r="G93" s="1" t="s">
        <v>1371</v>
      </c>
      <c r="H93" s="1" t="s">
        <v>1370</v>
      </c>
      <c r="I93" s="1" t="s">
        <v>1370</v>
      </c>
      <c r="J93" s="1" t="s">
        <v>1370</v>
      </c>
      <c r="K93" s="1" t="s">
        <v>1370</v>
      </c>
      <c r="L93" s="1" t="s">
        <v>1370</v>
      </c>
      <c r="M93" s="1" t="s">
        <v>1370</v>
      </c>
      <c r="N93" s="1" t="s">
        <v>1370</v>
      </c>
      <c r="O93" s="1" t="s">
        <v>1370</v>
      </c>
    </row>
    <row r="94" spans="1:15" x14ac:dyDescent="0.2">
      <c r="A94" s="1" t="s">
        <v>584</v>
      </c>
      <c r="B94" s="1" t="s">
        <v>971</v>
      </c>
      <c r="C94" s="1" t="s" vm="144">
        <v>1368</v>
      </c>
      <c r="D94" s="1" t="s" vm="144">
        <v>1368</v>
      </c>
      <c r="E94" s="1" t="s" vm="144">
        <v>1368</v>
      </c>
      <c r="F94" s="1" t="s">
        <v>1371</v>
      </c>
      <c r="G94" s="1" t="s">
        <v>1370</v>
      </c>
      <c r="H94" s="1" t="s">
        <v>1370</v>
      </c>
      <c r="I94" s="1" t="s">
        <v>1370</v>
      </c>
      <c r="J94" s="1" t="s">
        <v>1370</v>
      </c>
      <c r="K94" s="1" t="s">
        <v>1370</v>
      </c>
      <c r="L94" s="1" t="s">
        <v>1370</v>
      </c>
      <c r="M94" s="1" t="s">
        <v>1370</v>
      </c>
      <c r="N94" s="1" t="s">
        <v>1370</v>
      </c>
      <c r="O94" s="1" t="s">
        <v>1370</v>
      </c>
    </row>
    <row r="95" spans="1:15" x14ac:dyDescent="0.2">
      <c r="A95" s="1" t="s">
        <v>569</v>
      </c>
      <c r="B95" s="1" t="s">
        <v>973</v>
      </c>
      <c r="C95" s="1" t="s" vm="216">
        <v>1368</v>
      </c>
      <c r="D95" s="1" t="s" vm="216">
        <v>1368</v>
      </c>
      <c r="E95" s="1" t="s" vm="216">
        <v>1368</v>
      </c>
      <c r="F95" s="1" t="s">
        <v>1371</v>
      </c>
      <c r="G95" s="1" t="s">
        <v>1370</v>
      </c>
      <c r="H95" s="1" t="s">
        <v>1370</v>
      </c>
      <c r="I95" s="1" t="s">
        <v>1370</v>
      </c>
      <c r="J95" s="1" t="s">
        <v>1370</v>
      </c>
      <c r="K95" s="1" t="s">
        <v>1370</v>
      </c>
      <c r="L95" s="1" t="s">
        <v>1370</v>
      </c>
      <c r="M95" s="1" t="s">
        <v>1370</v>
      </c>
      <c r="N95" s="1" t="s">
        <v>1370</v>
      </c>
      <c r="O95" s="1" t="s">
        <v>1370</v>
      </c>
    </row>
    <row r="96" spans="1:15" x14ac:dyDescent="0.2">
      <c r="A96" s="1" t="s">
        <v>22</v>
      </c>
      <c r="B96" s="1" t="s">
        <v>23</v>
      </c>
      <c r="C96" s="1" t="s">
        <v>1370</v>
      </c>
      <c r="D96" s="1" t="s" vm="133">
        <v>1368</v>
      </c>
      <c r="E96" s="1" t="s" vm="133">
        <v>1368</v>
      </c>
      <c r="F96" s="1" t="s">
        <v>1371</v>
      </c>
      <c r="G96" s="1" t="s">
        <v>1370</v>
      </c>
      <c r="H96" s="1" t="s">
        <v>1370</v>
      </c>
      <c r="I96" s="1" t="s">
        <v>1370</v>
      </c>
      <c r="J96" s="1" t="s">
        <v>1370</v>
      </c>
      <c r="K96" s="1" t="s">
        <v>1370</v>
      </c>
      <c r="L96" s="1" t="s">
        <v>1370</v>
      </c>
      <c r="M96" s="1" t="s">
        <v>1370</v>
      </c>
      <c r="N96" s="1" t="s">
        <v>1370</v>
      </c>
      <c r="O96" s="1" t="s">
        <v>1370</v>
      </c>
    </row>
    <row r="97" spans="1:15" x14ac:dyDescent="0.2">
      <c r="A97" s="1" t="s">
        <v>65</v>
      </c>
      <c r="B97" s="1" t="s">
        <v>950</v>
      </c>
      <c r="C97" s="1" t="s" vm="134">
        <v>1368</v>
      </c>
      <c r="D97" s="1" t="s" vm="134">
        <v>1368</v>
      </c>
      <c r="E97" s="1" t="s" vm="134">
        <v>1368</v>
      </c>
      <c r="F97" s="1" t="s">
        <v>1371</v>
      </c>
      <c r="G97" s="1" t="s">
        <v>1370</v>
      </c>
      <c r="H97" s="1" t="s">
        <v>1370</v>
      </c>
      <c r="I97" s="1" t="s">
        <v>1370</v>
      </c>
      <c r="J97" s="1" t="s">
        <v>1370</v>
      </c>
      <c r="K97" s="1" t="s">
        <v>1370</v>
      </c>
      <c r="L97" s="1" t="s">
        <v>1370</v>
      </c>
      <c r="M97" s="1" t="s">
        <v>1370</v>
      </c>
      <c r="N97" s="1" t="s">
        <v>1370</v>
      </c>
      <c r="O97" s="1" t="s">
        <v>1370</v>
      </c>
    </row>
    <row r="98" spans="1:15" x14ac:dyDescent="0.2">
      <c r="A98" s="1" t="s">
        <v>258</v>
      </c>
      <c r="B98" s="1" t="s">
        <v>259</v>
      </c>
      <c r="C98" s="1" t="s" vm="152">
        <v>1368</v>
      </c>
      <c r="D98" s="1" t="s" vm="152">
        <v>1368</v>
      </c>
      <c r="E98" s="1" t="s" vm="152">
        <v>1368</v>
      </c>
      <c r="F98" s="1" t="s">
        <v>1371</v>
      </c>
      <c r="G98" s="1" t="s">
        <v>1370</v>
      </c>
      <c r="H98" s="1" t="s">
        <v>1370</v>
      </c>
      <c r="I98" s="1" t="s">
        <v>1370</v>
      </c>
      <c r="J98" s="1" t="s">
        <v>1370</v>
      </c>
      <c r="K98" s="1" t="s">
        <v>1370</v>
      </c>
      <c r="L98" s="1" t="s">
        <v>1370</v>
      </c>
      <c r="M98" s="1" t="s">
        <v>1370</v>
      </c>
      <c r="N98" s="1" t="s">
        <v>1370</v>
      </c>
      <c r="O98" s="1" t="s">
        <v>1370</v>
      </c>
    </row>
    <row r="99" spans="1:15" x14ac:dyDescent="0.2">
      <c r="A99" s="1" t="s">
        <v>490</v>
      </c>
      <c r="B99" s="1" t="s">
        <v>491</v>
      </c>
      <c r="C99" s="1" t="s" vm="101">
        <v>1368</v>
      </c>
      <c r="D99" s="1" t="s" vm="101">
        <v>1368</v>
      </c>
      <c r="E99" s="1" t="s" vm="101">
        <v>1368</v>
      </c>
      <c r="F99" s="1" t="s">
        <v>1371</v>
      </c>
      <c r="G99" s="1" t="s">
        <v>1370</v>
      </c>
      <c r="H99" s="1" t="s">
        <v>1370</v>
      </c>
      <c r="I99" s="1" t="s">
        <v>1370</v>
      </c>
      <c r="J99" s="1" t="s">
        <v>1370</v>
      </c>
      <c r="K99" s="1" t="s">
        <v>1370</v>
      </c>
      <c r="L99" s="1" t="s">
        <v>1370</v>
      </c>
      <c r="M99" s="1" t="s">
        <v>1370</v>
      </c>
      <c r="N99" s="1" t="s">
        <v>1370</v>
      </c>
      <c r="O99" s="1" t="s">
        <v>1370</v>
      </c>
    </row>
    <row r="100" spans="1:15" x14ac:dyDescent="0.2">
      <c r="A100" s="1" t="s">
        <v>66</v>
      </c>
      <c r="B100" s="1" t="s">
        <v>67</v>
      </c>
      <c r="C100" s="1" t="s" vm="238">
        <v>1368</v>
      </c>
      <c r="D100" s="1" t="s" vm="238">
        <v>1368</v>
      </c>
      <c r="E100" s="1" t="s" vm="238">
        <v>1368</v>
      </c>
      <c r="F100" s="1" t="s">
        <v>1371</v>
      </c>
      <c r="G100" s="1" t="s">
        <v>1370</v>
      </c>
      <c r="H100" s="1" t="s">
        <v>1370</v>
      </c>
      <c r="I100" s="1" t="s">
        <v>1370</v>
      </c>
      <c r="J100" s="1" t="s">
        <v>1370</v>
      </c>
      <c r="K100" s="1" t="s">
        <v>1370</v>
      </c>
      <c r="L100" s="1" t="s">
        <v>1370</v>
      </c>
      <c r="M100" s="1" t="s">
        <v>1370</v>
      </c>
      <c r="N100" s="1" t="s">
        <v>1370</v>
      </c>
      <c r="O100" s="1" t="s">
        <v>1370</v>
      </c>
    </row>
    <row r="101" spans="1:15" x14ac:dyDescent="0.2">
      <c r="A101" s="1" t="s">
        <v>511</v>
      </c>
      <c r="B101" s="1" t="s">
        <v>512</v>
      </c>
      <c r="C101" s="1" t="s" vm="70">
        <v>1368</v>
      </c>
      <c r="D101" s="1" t="s" vm="70">
        <v>1368</v>
      </c>
      <c r="E101" s="1" t="s" vm="70">
        <v>1368</v>
      </c>
      <c r="F101" s="1" t="s">
        <v>1371</v>
      </c>
      <c r="G101" s="1" t="s">
        <v>1370</v>
      </c>
      <c r="H101" s="1" t="s">
        <v>1370</v>
      </c>
      <c r="I101" s="1" t="s">
        <v>802</v>
      </c>
      <c r="J101" s="1" t="s">
        <v>802</v>
      </c>
      <c r="K101" s="1" t="s">
        <v>802</v>
      </c>
      <c r="L101" s="1" t="s">
        <v>802</v>
      </c>
      <c r="M101" s="1" t="s">
        <v>1370</v>
      </c>
      <c r="N101" s="1" t="s">
        <v>1370</v>
      </c>
      <c r="O101" s="1" t="s">
        <v>1370</v>
      </c>
    </row>
    <row r="102" spans="1:15" x14ac:dyDescent="0.2">
      <c r="A102" s="1" t="s">
        <v>397</v>
      </c>
      <c r="B102" s="1" t="s">
        <v>398</v>
      </c>
      <c r="C102" s="1" t="s" vm="219">
        <v>1368</v>
      </c>
      <c r="D102" s="1" t="s" vm="219">
        <v>1368</v>
      </c>
      <c r="E102" s="1" t="s" vm="219">
        <v>1368</v>
      </c>
      <c r="F102" s="1" t="s">
        <v>1370</v>
      </c>
      <c r="G102" s="1" t="s">
        <v>1370</v>
      </c>
      <c r="H102" s="1" t="s">
        <v>1370</v>
      </c>
      <c r="I102" s="1" t="s">
        <v>1370</v>
      </c>
      <c r="J102" s="1" t="s">
        <v>1370</v>
      </c>
      <c r="K102" s="1" t="s">
        <v>1370</v>
      </c>
      <c r="L102" s="1" t="s">
        <v>1370</v>
      </c>
      <c r="M102" s="1" t="s">
        <v>1370</v>
      </c>
      <c r="N102" s="1" t="s">
        <v>1370</v>
      </c>
      <c r="O102" s="1" t="s">
        <v>1370</v>
      </c>
    </row>
    <row r="103" spans="1:15" x14ac:dyDescent="0.2">
      <c r="A103" s="1" t="s">
        <v>289</v>
      </c>
      <c r="B103" s="1" t="s">
        <v>290</v>
      </c>
      <c r="C103" s="1" t="s">
        <v>1369</v>
      </c>
      <c r="D103" s="1" t="s" vm="89">
        <v>1368</v>
      </c>
      <c r="E103" s="1" t="s" vm="89">
        <v>1368</v>
      </c>
      <c r="F103" s="1" t="s">
        <v>1370</v>
      </c>
      <c r="G103" s="1" t="s">
        <v>1370</v>
      </c>
      <c r="H103" s="1" t="s">
        <v>1370</v>
      </c>
      <c r="I103" s="1" t="s">
        <v>1370</v>
      </c>
      <c r="J103" s="1" t="s">
        <v>1370</v>
      </c>
      <c r="K103" s="1" t="s">
        <v>1370</v>
      </c>
      <c r="L103" s="1" t="s">
        <v>1370</v>
      </c>
      <c r="M103" s="1" t="s">
        <v>1370</v>
      </c>
      <c r="N103" s="1" t="s">
        <v>1370</v>
      </c>
      <c r="O103" s="1" t="s">
        <v>1370</v>
      </c>
    </row>
    <row r="104" spans="1:15" x14ac:dyDescent="0.2">
      <c r="A104" s="1" t="s">
        <v>62</v>
      </c>
      <c r="B104" s="1" t="s">
        <v>63</v>
      </c>
      <c r="C104" s="1" t="s" vm="135">
        <v>1368</v>
      </c>
      <c r="D104" s="1" t="s" vm="135">
        <v>1368</v>
      </c>
      <c r="E104" s="1" t="s" vm="135">
        <v>1368</v>
      </c>
      <c r="F104" s="1" t="s">
        <v>1370</v>
      </c>
      <c r="G104" s="1" t="s">
        <v>1370</v>
      </c>
      <c r="H104" s="1" t="s">
        <v>1370</v>
      </c>
      <c r="I104" s="1" t="s">
        <v>1370</v>
      </c>
      <c r="J104" s="1" t="s">
        <v>1370</v>
      </c>
      <c r="K104" s="1" t="s">
        <v>1370</v>
      </c>
      <c r="L104" s="1" t="s">
        <v>1370</v>
      </c>
      <c r="M104" s="1" t="s">
        <v>1370</v>
      </c>
      <c r="N104" s="1" t="s">
        <v>1370</v>
      </c>
      <c r="O104" s="1" t="s">
        <v>1370</v>
      </c>
    </row>
    <row r="105" spans="1:15" x14ac:dyDescent="0.2">
      <c r="A105" s="1" t="s">
        <v>250</v>
      </c>
      <c r="B105" s="1" t="s">
        <v>251</v>
      </c>
      <c r="C105" s="1" t="s" vm="155">
        <v>1368</v>
      </c>
      <c r="D105" s="1" t="s" vm="155">
        <v>1368</v>
      </c>
      <c r="E105" s="1" t="s" vm="155">
        <v>1368</v>
      </c>
      <c r="F105" s="1" t="s">
        <v>1370</v>
      </c>
      <c r="G105" s="1" t="s">
        <v>1370</v>
      </c>
      <c r="H105" s="1" t="s">
        <v>1370</v>
      </c>
      <c r="I105" s="1" t="s">
        <v>1370</v>
      </c>
      <c r="J105" s="1" t="s">
        <v>1370</v>
      </c>
      <c r="K105" s="1" t="s">
        <v>1370</v>
      </c>
      <c r="L105" s="1" t="s">
        <v>1370</v>
      </c>
      <c r="M105" s="1" t="s">
        <v>1370</v>
      </c>
      <c r="N105" s="1" t="s">
        <v>1370</v>
      </c>
      <c r="O105" s="1" t="s">
        <v>1370</v>
      </c>
    </row>
    <row r="106" spans="1:15" x14ac:dyDescent="0.2">
      <c r="A106" s="1" t="s">
        <v>389</v>
      </c>
      <c r="B106" s="1" t="s">
        <v>918</v>
      </c>
      <c r="C106" s="1" t="s" vm="142">
        <v>1368</v>
      </c>
      <c r="D106" s="1" t="s" vm="142">
        <v>1368</v>
      </c>
      <c r="E106" s="1" t="s" vm="142">
        <v>1368</v>
      </c>
      <c r="F106" s="1" t="s">
        <v>1370</v>
      </c>
      <c r="G106" s="1" t="s">
        <v>1370</v>
      </c>
      <c r="H106" s="1" t="s">
        <v>1370</v>
      </c>
      <c r="I106" s="1" t="s">
        <v>1370</v>
      </c>
      <c r="J106" s="1" t="s">
        <v>1370</v>
      </c>
      <c r="K106" s="1" t="s">
        <v>1370</v>
      </c>
      <c r="L106" s="1" t="s">
        <v>1370</v>
      </c>
      <c r="M106" s="1" t="s">
        <v>1370</v>
      </c>
      <c r="N106" s="1" t="s">
        <v>1370</v>
      </c>
      <c r="O106" s="1" t="s">
        <v>1370</v>
      </c>
    </row>
    <row r="107" spans="1:15" x14ac:dyDescent="0.2">
      <c r="A107" s="1" t="s">
        <v>184</v>
      </c>
      <c r="B107" s="1" t="s">
        <v>185</v>
      </c>
      <c r="C107" s="1" t="s" vm="60">
        <v>925</v>
      </c>
      <c r="D107" s="1" t="s" vm="60">
        <v>925</v>
      </c>
      <c r="E107" s="1" t="s" vm="60">
        <v>925</v>
      </c>
      <c r="F107" s="1" t="s">
        <v>1370</v>
      </c>
      <c r="G107" s="1" t="s">
        <v>1370</v>
      </c>
      <c r="H107" s="1" t="s">
        <v>1370</v>
      </c>
      <c r="I107" s="1" t="s">
        <v>1370</v>
      </c>
      <c r="J107" s="1" t="s">
        <v>1370</v>
      </c>
      <c r="K107" s="1" t="s">
        <v>1370</v>
      </c>
      <c r="L107" s="1" t="s">
        <v>1370</v>
      </c>
      <c r="M107" s="1" t="s">
        <v>1370</v>
      </c>
      <c r="N107" s="1" t="s">
        <v>1370</v>
      </c>
      <c r="O107" s="1" t="s">
        <v>1370</v>
      </c>
    </row>
    <row r="108" spans="1:15" x14ac:dyDescent="0.2">
      <c r="A108" s="1" t="s">
        <v>716</v>
      </c>
      <c r="B108" s="1" t="s">
        <v>1069</v>
      </c>
      <c r="C108" s="1" t="s" vm="14">
        <v>1369</v>
      </c>
      <c r="D108" s="1" t="s" vm="14">
        <v>1369</v>
      </c>
      <c r="E108" s="1" t="s" vm="14">
        <v>1369</v>
      </c>
      <c r="F108" s="1" t="s">
        <v>1370</v>
      </c>
      <c r="G108" s="1" t="s">
        <v>1370</v>
      </c>
      <c r="H108" s="1" t="s">
        <v>1370</v>
      </c>
      <c r="I108" s="1" t="s">
        <v>1370</v>
      </c>
      <c r="J108" s="1" t="s">
        <v>1370</v>
      </c>
      <c r="K108" s="1" t="s">
        <v>1370</v>
      </c>
      <c r="L108" s="1" t="s">
        <v>1370</v>
      </c>
      <c r="M108" s="1" t="s">
        <v>1370</v>
      </c>
      <c r="N108" s="1" t="s">
        <v>1370</v>
      </c>
      <c r="O108" s="1" t="s">
        <v>1370</v>
      </c>
    </row>
    <row r="109" spans="1:15" x14ac:dyDescent="0.2">
      <c r="A109" s="1" t="s">
        <v>529</v>
      </c>
      <c r="B109" s="1" t="s">
        <v>668</v>
      </c>
      <c r="C109" s="1" t="s">
        <v>1370</v>
      </c>
      <c r="D109" s="1" t="s" vm="14">
        <v>1369</v>
      </c>
      <c r="E109" s="1" t="s" vm="14">
        <v>1369</v>
      </c>
      <c r="F109" s="1" t="s">
        <v>1370</v>
      </c>
      <c r="G109" s="1" t="s">
        <v>1370</v>
      </c>
      <c r="H109" s="1" t="s">
        <v>1370</v>
      </c>
      <c r="I109" s="1" t="s">
        <v>1370</v>
      </c>
      <c r="J109" s="1" t="s">
        <v>1370</v>
      </c>
      <c r="K109" s="1" t="s">
        <v>1370</v>
      </c>
      <c r="L109" s="1" t="s">
        <v>1370</v>
      </c>
      <c r="M109" s="1" t="s">
        <v>1370</v>
      </c>
      <c r="N109" s="1" t="s">
        <v>1370</v>
      </c>
      <c r="O109" s="1" t="s">
        <v>1370</v>
      </c>
    </row>
    <row r="110" spans="1:15" x14ac:dyDescent="0.2">
      <c r="A110" s="1" t="s">
        <v>517</v>
      </c>
      <c r="B110" s="1" t="s">
        <v>518</v>
      </c>
      <c r="C110" s="1" t="s">
        <v>1368</v>
      </c>
      <c r="D110" s="1" t="s">
        <v>1368</v>
      </c>
      <c r="E110" s="1" t="s" vm="63">
        <v>1369</v>
      </c>
      <c r="F110" s="1" t="s">
        <v>1370</v>
      </c>
      <c r="G110" s="1" t="s">
        <v>1370</v>
      </c>
      <c r="H110" s="1" t="s">
        <v>1370</v>
      </c>
      <c r="I110" s="1" t="s">
        <v>1370</v>
      </c>
      <c r="J110" s="1" t="s">
        <v>1370</v>
      </c>
      <c r="K110" s="1" t="s">
        <v>1370</v>
      </c>
      <c r="L110" s="1" t="s">
        <v>1370</v>
      </c>
      <c r="M110" s="1" t="s">
        <v>1370</v>
      </c>
      <c r="N110" s="1" t="s">
        <v>1370</v>
      </c>
      <c r="O110" s="1" t="s">
        <v>1370</v>
      </c>
    </row>
    <row r="111" spans="1:15" x14ac:dyDescent="0.2">
      <c r="A111" s="1" t="s">
        <v>105</v>
      </c>
      <c r="B111" s="1" t="s">
        <v>1429</v>
      </c>
      <c r="C111" s="1" t="s" vm="124">
        <v>1369</v>
      </c>
      <c r="D111" s="1" t="s" vm="124">
        <v>1369</v>
      </c>
      <c r="E111" s="1" t="s" vm="124">
        <v>1369</v>
      </c>
      <c r="F111" s="1" t="s">
        <v>1370</v>
      </c>
      <c r="G111" s="1" t="s">
        <v>1370</v>
      </c>
      <c r="H111" s="1" t="s">
        <v>1370</v>
      </c>
      <c r="I111" s="1" t="s">
        <v>1370</v>
      </c>
      <c r="J111" s="1" t="s">
        <v>1370</v>
      </c>
      <c r="K111" s="1" t="s">
        <v>1370</v>
      </c>
      <c r="L111" s="1" t="s">
        <v>1370</v>
      </c>
      <c r="M111" s="1" t="s">
        <v>1370</v>
      </c>
      <c r="N111" s="1" t="s">
        <v>1370</v>
      </c>
      <c r="O111" s="1" t="s">
        <v>1370</v>
      </c>
    </row>
    <row r="112" spans="1:15" x14ac:dyDescent="0.2">
      <c r="A112" s="1" t="s">
        <v>712</v>
      </c>
      <c r="B112" s="1" t="s">
        <v>998</v>
      </c>
      <c r="C112" s="1" t="s" vm="14">
        <v>1369</v>
      </c>
      <c r="D112" s="1" t="s" vm="14">
        <v>1369</v>
      </c>
      <c r="E112" s="1" t="s" vm="14">
        <v>1369</v>
      </c>
      <c r="F112" s="1" t="s">
        <v>1370</v>
      </c>
      <c r="G112" s="1" t="s">
        <v>1370</v>
      </c>
      <c r="H112" s="1" t="s">
        <v>1370</v>
      </c>
      <c r="I112" s="1" t="s">
        <v>1370</v>
      </c>
      <c r="J112" s="1" t="s">
        <v>1370</v>
      </c>
      <c r="K112" s="1" t="s">
        <v>1370</v>
      </c>
      <c r="L112" s="1" t="s">
        <v>1370</v>
      </c>
      <c r="M112" s="1" t="s">
        <v>1370</v>
      </c>
      <c r="N112" s="1" t="s">
        <v>1370</v>
      </c>
      <c r="O112" s="1" t="s">
        <v>1370</v>
      </c>
    </row>
    <row r="113" spans="1:15" x14ac:dyDescent="0.2">
      <c r="A113" s="1" t="s">
        <v>706</v>
      </c>
      <c r="B113" s="1" t="s">
        <v>899</v>
      </c>
      <c r="C113" s="1" t="s">
        <v>1370</v>
      </c>
      <c r="D113" s="1" t="s" vm="14">
        <v>1369</v>
      </c>
      <c r="E113" s="1" t="s" vm="14">
        <v>1369</v>
      </c>
      <c r="F113" s="1" t="s">
        <v>1370</v>
      </c>
      <c r="G113" s="1" t="s">
        <v>1370</v>
      </c>
      <c r="H113" s="1" t="s">
        <v>1370</v>
      </c>
      <c r="I113" s="1" t="s">
        <v>1370</v>
      </c>
      <c r="J113" s="1" t="s">
        <v>1370</v>
      </c>
      <c r="K113" s="1" t="s">
        <v>1370</v>
      </c>
      <c r="L113" s="1" t="s">
        <v>1370</v>
      </c>
      <c r="M113" s="1" t="s">
        <v>1370</v>
      </c>
      <c r="N113" s="1" t="s">
        <v>1370</v>
      </c>
      <c r="O113" s="1" t="s">
        <v>1370</v>
      </c>
    </row>
    <row r="114" spans="1:15" x14ac:dyDescent="0.2">
      <c r="A114" s="1" t="s">
        <v>548</v>
      </c>
      <c r="B114" s="1" t="s">
        <v>901</v>
      </c>
      <c r="C114" s="1" t="s" vm="223">
        <v>1369</v>
      </c>
      <c r="D114" s="1" t="s" vm="223">
        <v>1369</v>
      </c>
      <c r="E114" s="1" t="s" vm="223">
        <v>1369</v>
      </c>
      <c r="F114" s="1" t="s">
        <v>1370</v>
      </c>
      <c r="G114" s="1" t="s">
        <v>1370</v>
      </c>
      <c r="H114" s="1" t="s">
        <v>1370</v>
      </c>
      <c r="I114" s="1" t="s">
        <v>1370</v>
      </c>
      <c r="J114" s="1" t="s">
        <v>1370</v>
      </c>
      <c r="K114" s="1" t="s">
        <v>1370</v>
      </c>
      <c r="L114" s="1" t="s">
        <v>1370</v>
      </c>
      <c r="M114" s="1" t="s">
        <v>1370</v>
      </c>
      <c r="N114" s="1" t="s">
        <v>1370</v>
      </c>
      <c r="O114" s="1" t="s">
        <v>1370</v>
      </c>
    </row>
    <row r="115" spans="1:15" x14ac:dyDescent="0.2">
      <c r="A115" s="1" t="s">
        <v>434</v>
      </c>
      <c r="B115" s="1" t="s">
        <v>435</v>
      </c>
      <c r="C115" s="1" t="s" vm="14">
        <v>1369</v>
      </c>
      <c r="D115" s="1" t="s" vm="14">
        <v>1369</v>
      </c>
      <c r="E115" s="1" t="s" vm="14">
        <v>1369</v>
      </c>
      <c r="F115" s="1" t="s">
        <v>1370</v>
      </c>
      <c r="G115" s="1" t="s">
        <v>1370</v>
      </c>
      <c r="H115" s="1" t="s">
        <v>1370</v>
      </c>
      <c r="I115" s="1" t="s">
        <v>1370</v>
      </c>
      <c r="J115" s="1" t="s">
        <v>1370</v>
      </c>
      <c r="K115" s="1" t="s">
        <v>1370</v>
      </c>
      <c r="L115" s="1" t="s">
        <v>1370</v>
      </c>
      <c r="M115" s="1" t="s">
        <v>1370</v>
      </c>
      <c r="N115" s="1" t="s">
        <v>1370</v>
      </c>
      <c r="O115" s="1" t="s">
        <v>1370</v>
      </c>
    </row>
    <row r="116" spans="1:15" x14ac:dyDescent="0.2">
      <c r="A116" s="1" t="s">
        <v>758</v>
      </c>
      <c r="B116" s="1" t="s">
        <v>905</v>
      </c>
      <c r="C116" s="1" t="s">
        <v>1289</v>
      </c>
      <c r="D116" s="1" t="s" vm="14">
        <v>1369</v>
      </c>
      <c r="E116" s="1" t="s" vm="14">
        <v>1369</v>
      </c>
      <c r="F116" s="1" t="s">
        <v>1370</v>
      </c>
      <c r="G116" s="1" t="s">
        <v>1370</v>
      </c>
      <c r="H116" s="1" t="s">
        <v>1370</v>
      </c>
      <c r="I116" s="1" t="s">
        <v>1370</v>
      </c>
      <c r="J116" s="1" t="s">
        <v>1370</v>
      </c>
      <c r="K116" s="1" t="s">
        <v>1370</v>
      </c>
      <c r="L116" s="1" t="s">
        <v>1370</v>
      </c>
      <c r="M116" s="1" t="s">
        <v>1370</v>
      </c>
      <c r="N116" s="1" t="s">
        <v>1370</v>
      </c>
      <c r="O116" s="1" t="s">
        <v>1370</v>
      </c>
    </row>
    <row r="117" spans="1:15" x14ac:dyDescent="0.2">
      <c r="A117" s="1" t="s">
        <v>1223</v>
      </c>
      <c r="B117" s="1" t="s">
        <v>968</v>
      </c>
      <c r="C117" s="1" t="s" vm="14">
        <v>1369</v>
      </c>
      <c r="D117" s="1" t="s" vm="14">
        <v>1369</v>
      </c>
      <c r="E117" s="1" t="s" vm="14">
        <v>1369</v>
      </c>
      <c r="F117" s="1" t="s">
        <v>1370</v>
      </c>
      <c r="G117" s="1" t="s">
        <v>1370</v>
      </c>
      <c r="H117" s="1" t="s">
        <v>1370</v>
      </c>
      <c r="I117" s="1" t="s">
        <v>1370</v>
      </c>
      <c r="J117" s="1" t="s">
        <v>1370</v>
      </c>
      <c r="K117" s="1" t="s">
        <v>1370</v>
      </c>
      <c r="L117" s="1" t="s">
        <v>1370</v>
      </c>
      <c r="M117" s="1" t="s">
        <v>1370</v>
      </c>
      <c r="N117" s="1" t="s">
        <v>1370</v>
      </c>
      <c r="O117" s="1" t="s">
        <v>1370</v>
      </c>
    </row>
    <row r="118" spans="1:15" x14ac:dyDescent="0.2">
      <c r="A118" s="1" t="s">
        <v>1221</v>
      </c>
      <c r="B118" s="1" t="s">
        <v>903</v>
      </c>
      <c r="C118" s="1" t="s" vm="14">
        <v>1369</v>
      </c>
      <c r="D118" s="1" t="s" vm="14">
        <v>1369</v>
      </c>
      <c r="E118" s="1" t="s" vm="14">
        <v>1369</v>
      </c>
      <c r="F118" s="1" t="s">
        <v>1370</v>
      </c>
      <c r="G118" s="1" t="s">
        <v>1370</v>
      </c>
      <c r="H118" s="1" t="s">
        <v>1370</v>
      </c>
      <c r="I118" s="1" t="s">
        <v>1370</v>
      </c>
      <c r="J118" s="1" t="s">
        <v>1370</v>
      </c>
      <c r="K118" s="1" t="s">
        <v>1370</v>
      </c>
      <c r="L118" s="1" t="s">
        <v>1370</v>
      </c>
      <c r="M118" s="1" t="s">
        <v>1370</v>
      </c>
      <c r="N118" s="1" t="s">
        <v>1370</v>
      </c>
      <c r="O118" s="1" t="s">
        <v>1370</v>
      </c>
    </row>
    <row r="119" spans="1:15" x14ac:dyDescent="0.2">
      <c r="A119" s="1" t="s">
        <v>1220</v>
      </c>
      <c r="B119" s="1" t="s">
        <v>876</v>
      </c>
      <c r="C119" s="1" t="s">
        <v>1370</v>
      </c>
      <c r="D119" s="1" t="s" vm="14">
        <v>1369</v>
      </c>
      <c r="E119" s="1" t="s" vm="14">
        <v>1369</v>
      </c>
      <c r="F119" s="1" t="s">
        <v>1370</v>
      </c>
      <c r="G119" s="1" t="s">
        <v>1370</v>
      </c>
      <c r="H119" s="1" t="s">
        <v>1370</v>
      </c>
      <c r="I119" s="1" t="s">
        <v>1370</v>
      </c>
      <c r="J119" s="1" t="s">
        <v>1370</v>
      </c>
      <c r="K119" s="1" t="s">
        <v>1370</v>
      </c>
      <c r="L119" s="1" t="s">
        <v>1370</v>
      </c>
      <c r="M119" s="1" t="s">
        <v>1370</v>
      </c>
      <c r="N119" s="1" t="s">
        <v>1370</v>
      </c>
      <c r="O119" s="1" t="s">
        <v>1370</v>
      </c>
    </row>
    <row r="120" spans="1:15" x14ac:dyDescent="0.2">
      <c r="A120" s="1" t="s">
        <v>315</v>
      </c>
      <c r="B120" s="1" t="s">
        <v>878</v>
      </c>
      <c r="C120" s="1" t="s" vm="224">
        <v>819</v>
      </c>
      <c r="D120" s="1" t="s" vm="224">
        <v>819</v>
      </c>
      <c r="E120" s="1" t="s" vm="224">
        <v>819</v>
      </c>
      <c r="F120" s="1" t="s">
        <v>1370</v>
      </c>
      <c r="G120" s="1" t="s">
        <v>1370</v>
      </c>
      <c r="H120" s="1" t="s">
        <v>1370</v>
      </c>
      <c r="I120" s="1" t="s">
        <v>1370</v>
      </c>
      <c r="J120" s="1" t="s">
        <v>1370</v>
      </c>
      <c r="K120" s="1" t="s">
        <v>1370</v>
      </c>
      <c r="L120" s="1" t="s">
        <v>1370</v>
      </c>
      <c r="M120" s="1" t="s">
        <v>1370</v>
      </c>
      <c r="N120" s="1" t="s">
        <v>1370</v>
      </c>
      <c r="O120" s="1" t="s">
        <v>1370</v>
      </c>
    </row>
    <row r="121" spans="1:15" x14ac:dyDescent="0.2">
      <c r="A121" s="1" t="s">
        <v>627</v>
      </c>
      <c r="B121" s="1" t="s">
        <v>926</v>
      </c>
      <c r="C121" s="1" t="s" vm="139">
        <v>927</v>
      </c>
      <c r="D121" s="1" t="s" vm="139">
        <v>927</v>
      </c>
      <c r="E121" s="1" t="s" vm="139">
        <v>927</v>
      </c>
      <c r="F121" s="1" t="s">
        <v>1370</v>
      </c>
      <c r="G121" s="1" t="s">
        <v>1370</v>
      </c>
      <c r="H121" s="1" t="s">
        <v>1370</v>
      </c>
      <c r="I121" s="1" t="s">
        <v>1370</v>
      </c>
      <c r="J121" s="1" t="s">
        <v>1370</v>
      </c>
      <c r="K121" s="1" t="s">
        <v>1370</v>
      </c>
      <c r="L121" s="1" t="s">
        <v>1370</v>
      </c>
      <c r="M121" s="1" t="s">
        <v>1370</v>
      </c>
      <c r="N121" s="1" t="s">
        <v>1370</v>
      </c>
      <c r="O121" s="1" t="s">
        <v>1370</v>
      </c>
    </row>
    <row r="122" spans="1:15" x14ac:dyDescent="0.2">
      <c r="A122" s="1" t="s">
        <v>626</v>
      </c>
      <c r="B122" s="1" t="s">
        <v>828</v>
      </c>
      <c r="C122" s="1" t="s">
        <v>1368</v>
      </c>
      <c r="D122" s="1" t="s">
        <v>1368</v>
      </c>
      <c r="E122" s="1" t="s" vm="151">
        <v>1369</v>
      </c>
      <c r="F122" s="1" t="s">
        <v>1370</v>
      </c>
      <c r="G122" s="1" t="s">
        <v>802</v>
      </c>
      <c r="H122" s="1" t="s">
        <v>802</v>
      </c>
      <c r="I122" s="1" t="s">
        <v>802</v>
      </c>
      <c r="J122" s="1" t="s">
        <v>1370</v>
      </c>
      <c r="K122" s="1" t="s">
        <v>1370</v>
      </c>
      <c r="L122" s="1" t="s">
        <v>1370</v>
      </c>
      <c r="M122" s="1" t="s">
        <v>1370</v>
      </c>
      <c r="N122" s="1" t="s">
        <v>1370</v>
      </c>
      <c r="O122" s="1" t="s">
        <v>1370</v>
      </c>
    </row>
    <row r="123" spans="1:15" x14ac:dyDescent="0.2">
      <c r="A123" s="1" t="s">
        <v>441</v>
      </c>
      <c r="B123" s="1" t="s">
        <v>830</v>
      </c>
      <c r="C123" s="1" t="s">
        <v>1368</v>
      </c>
      <c r="D123" s="1" t="s">
        <v>1368</v>
      </c>
      <c r="E123" s="1" t="s" vm="218">
        <v>1369</v>
      </c>
      <c r="F123" s="1" t="s">
        <v>1370</v>
      </c>
      <c r="G123" s="1" t="s">
        <v>802</v>
      </c>
      <c r="H123" s="1" t="s">
        <v>802</v>
      </c>
      <c r="I123" s="1" t="s">
        <v>802</v>
      </c>
      <c r="J123" s="1" t="s">
        <v>1370</v>
      </c>
      <c r="K123" s="1" t="s">
        <v>1370</v>
      </c>
      <c r="L123" s="1" t="s">
        <v>1370</v>
      </c>
      <c r="M123" s="1" t="s">
        <v>1370</v>
      </c>
      <c r="N123" s="1" t="s">
        <v>1370</v>
      </c>
      <c r="O123" s="1" t="s">
        <v>1370</v>
      </c>
    </row>
    <row r="124" spans="1:15" x14ac:dyDescent="0.2">
      <c r="A124" s="1" t="s">
        <v>530</v>
      </c>
      <c r="B124" s="1" t="s">
        <v>1433</v>
      </c>
      <c r="C124" s="1" t="s">
        <v>1368</v>
      </c>
      <c r="D124" s="1" t="s">
        <v>1368</v>
      </c>
      <c r="E124" s="1" t="s" vm="88">
        <v>1369</v>
      </c>
      <c r="F124" s="1" t="s">
        <v>1370</v>
      </c>
      <c r="G124" s="1" t="s">
        <v>802</v>
      </c>
      <c r="H124" s="1" t="s">
        <v>802</v>
      </c>
      <c r="I124" s="1" t="s">
        <v>802</v>
      </c>
      <c r="J124" s="1" t="s">
        <v>1370</v>
      </c>
      <c r="K124" s="1" t="s">
        <v>1370</v>
      </c>
      <c r="L124" s="1" t="s">
        <v>1370</v>
      </c>
      <c r="M124" s="1" t="s">
        <v>1370</v>
      </c>
      <c r="N124" s="1" t="s">
        <v>1370</v>
      </c>
      <c r="O124" s="1" t="s">
        <v>1370</v>
      </c>
    </row>
    <row r="125" spans="1:15" x14ac:dyDescent="0.2">
      <c r="A125" s="1" t="s">
        <v>12</v>
      </c>
      <c r="B125" s="1" t="s">
        <v>13</v>
      </c>
      <c r="C125" s="1" t="s" vm="220">
        <v>806</v>
      </c>
      <c r="D125" s="1" t="s" vm="220">
        <v>806</v>
      </c>
      <c r="E125" s="1" t="s" vm="220">
        <v>806</v>
      </c>
      <c r="F125" s="1" t="s">
        <v>802</v>
      </c>
      <c r="G125" s="1" t="s">
        <v>1370</v>
      </c>
      <c r="H125" s="1" t="s">
        <v>1370</v>
      </c>
      <c r="I125" s="1" t="s">
        <v>1370</v>
      </c>
      <c r="J125" s="1" t="s">
        <v>1370</v>
      </c>
      <c r="K125" s="1" t="s">
        <v>1370</v>
      </c>
      <c r="L125" s="1" t="s">
        <v>1370</v>
      </c>
      <c r="M125" s="1" t="s">
        <v>1370</v>
      </c>
      <c r="N125" s="1" t="s">
        <v>1370</v>
      </c>
      <c r="O125" s="1" t="s">
        <v>1370</v>
      </c>
    </row>
    <row r="126" spans="1:15" x14ac:dyDescent="0.2">
      <c r="A126" s="1" t="s">
        <v>24</v>
      </c>
      <c r="B126" s="1" t="s">
        <v>25</v>
      </c>
      <c r="C126" s="1" t="s" vm="94">
        <v>806</v>
      </c>
      <c r="D126" s="1" t="s" vm="94">
        <v>806</v>
      </c>
      <c r="E126" s="1" t="s" vm="94">
        <v>806</v>
      </c>
      <c r="F126" s="1" t="s">
        <v>802</v>
      </c>
      <c r="G126" s="1" t="s">
        <v>1370</v>
      </c>
      <c r="H126" s="1" t="s">
        <v>1370</v>
      </c>
      <c r="I126" s="1" t="s">
        <v>1370</v>
      </c>
      <c r="J126" s="1" t="s">
        <v>1370</v>
      </c>
      <c r="K126" s="1" t="s">
        <v>1370</v>
      </c>
      <c r="L126" s="1" t="s">
        <v>1370</v>
      </c>
      <c r="M126" s="1" t="s">
        <v>1370</v>
      </c>
      <c r="N126" s="1" t="s">
        <v>1370</v>
      </c>
      <c r="O126" s="1" t="s">
        <v>1370</v>
      </c>
    </row>
    <row r="127" spans="1:15" x14ac:dyDescent="0.2">
      <c r="A127" s="1" t="s">
        <v>387</v>
      </c>
      <c r="B127" s="1" t="s">
        <v>388</v>
      </c>
      <c r="C127" s="1" t="s">
        <v>1368</v>
      </c>
      <c r="D127" s="1" t="s" vm="140">
        <v>925</v>
      </c>
      <c r="E127" s="1" t="s" vm="140">
        <v>925</v>
      </c>
      <c r="F127" s="1" t="s">
        <v>802</v>
      </c>
      <c r="G127" s="1" t="s">
        <v>802</v>
      </c>
      <c r="H127" s="1" t="s">
        <v>1370</v>
      </c>
      <c r="I127" s="1" t="s">
        <v>1370</v>
      </c>
      <c r="J127" s="1" t="s">
        <v>1370</v>
      </c>
      <c r="K127" s="1" t="s">
        <v>1370</v>
      </c>
      <c r="L127" s="1" t="s">
        <v>1370</v>
      </c>
      <c r="M127" s="1" t="s">
        <v>1370</v>
      </c>
      <c r="N127" s="1" t="s">
        <v>1370</v>
      </c>
      <c r="O127" s="1" t="s">
        <v>1370</v>
      </c>
    </row>
    <row r="128" spans="1:15" x14ac:dyDescent="0.2">
      <c r="A128" s="1" t="s">
        <v>28</v>
      </c>
      <c r="B128" s="1" t="s">
        <v>29</v>
      </c>
      <c r="C128" s="1" t="s" vm="84">
        <v>819</v>
      </c>
      <c r="D128" s="1" t="s" vm="84">
        <v>819</v>
      </c>
      <c r="E128" s="1" t="s" vm="84">
        <v>819</v>
      </c>
      <c r="F128" s="1" t="s">
        <v>802</v>
      </c>
      <c r="G128" s="1" t="s">
        <v>802</v>
      </c>
      <c r="H128" s="1" t="s">
        <v>1370</v>
      </c>
      <c r="I128" s="1" t="s">
        <v>1370</v>
      </c>
      <c r="J128" s="1" t="s">
        <v>1370</v>
      </c>
      <c r="K128" s="1" t="s">
        <v>1370</v>
      </c>
      <c r="L128" s="1" t="s">
        <v>1370</v>
      </c>
      <c r="M128" s="1" t="s">
        <v>1370</v>
      </c>
      <c r="N128" s="1" t="s">
        <v>1370</v>
      </c>
      <c r="O128" s="1" t="s">
        <v>1370</v>
      </c>
    </row>
    <row r="129" spans="1:15" x14ac:dyDescent="0.2">
      <c r="A129" s="1" t="s">
        <v>263</v>
      </c>
      <c r="B129" s="1" t="s">
        <v>264</v>
      </c>
      <c r="C129" s="1" t="s" vm="123">
        <v>906</v>
      </c>
      <c r="D129" s="1" t="s" vm="123">
        <v>906</v>
      </c>
      <c r="E129" s="1" t="s" vm="123">
        <v>906</v>
      </c>
      <c r="F129" s="1" t="s">
        <v>802</v>
      </c>
      <c r="G129" s="1" t="s">
        <v>802</v>
      </c>
      <c r="H129" s="1" t="s">
        <v>1370</v>
      </c>
      <c r="I129" s="1" t="s">
        <v>1370</v>
      </c>
      <c r="J129" s="1" t="s">
        <v>1370</v>
      </c>
      <c r="K129" s="1" t="s">
        <v>1370</v>
      </c>
      <c r="L129" s="1" t="s">
        <v>1370</v>
      </c>
      <c r="M129" s="1" t="s">
        <v>1370</v>
      </c>
      <c r="N129" s="1" t="s">
        <v>1370</v>
      </c>
      <c r="O129" s="1" t="s">
        <v>1370</v>
      </c>
    </row>
    <row r="130" spans="1:15" x14ac:dyDescent="0.2">
      <c r="A130" s="1" t="s">
        <v>573</v>
      </c>
      <c r="B130" s="1" t="s">
        <v>989</v>
      </c>
      <c r="C130" s="1" t="s" vm="147">
        <v>866</v>
      </c>
      <c r="D130" s="1" t="s" vm="147">
        <v>866</v>
      </c>
      <c r="E130" s="1" t="s" vm="147">
        <v>866</v>
      </c>
      <c r="F130" s="1" t="s">
        <v>802</v>
      </c>
      <c r="G130" s="1" t="s">
        <v>802</v>
      </c>
      <c r="H130" s="1" t="s">
        <v>802</v>
      </c>
      <c r="I130" s="1" t="s">
        <v>1370</v>
      </c>
      <c r="J130" s="1" t="s">
        <v>1370</v>
      </c>
      <c r="K130" s="1" t="s">
        <v>1370</v>
      </c>
      <c r="L130" s="1" t="s">
        <v>1370</v>
      </c>
      <c r="M130" s="1" t="s">
        <v>1370</v>
      </c>
      <c r="N130" s="1" t="s">
        <v>1370</v>
      </c>
      <c r="O130" s="1" t="s">
        <v>1370</v>
      </c>
    </row>
    <row r="131" spans="1:15" x14ac:dyDescent="0.2">
      <c r="A131" s="1" t="s">
        <v>129</v>
      </c>
      <c r="B131" s="1" t="s">
        <v>130</v>
      </c>
      <c r="C131" s="1" t="s" vm="148">
        <v>866</v>
      </c>
      <c r="D131" s="1" t="s" vm="148">
        <v>866</v>
      </c>
      <c r="E131" s="1" t="s" vm="148">
        <v>866</v>
      </c>
      <c r="F131" s="1" t="s">
        <v>802</v>
      </c>
      <c r="G131" s="1" t="s">
        <v>802</v>
      </c>
      <c r="H131" s="1" t="s">
        <v>802</v>
      </c>
      <c r="I131" s="1" t="s">
        <v>1370</v>
      </c>
      <c r="J131" s="1" t="s">
        <v>1370</v>
      </c>
      <c r="K131" s="1" t="s">
        <v>1370</v>
      </c>
      <c r="L131" s="1" t="s">
        <v>1370</v>
      </c>
      <c r="M131" s="1" t="s">
        <v>1370</v>
      </c>
      <c r="N131" s="1" t="s">
        <v>1370</v>
      </c>
      <c r="O131" s="1" t="s">
        <v>1370</v>
      </c>
    </row>
    <row r="132" spans="1:15" x14ac:dyDescent="0.2">
      <c r="A132" s="1" t="s">
        <v>594</v>
      </c>
      <c r="B132" s="1" t="s">
        <v>990</v>
      </c>
      <c r="C132" s="1" t="s" vm="154">
        <v>866</v>
      </c>
      <c r="D132" s="1" t="s" vm="154">
        <v>866</v>
      </c>
      <c r="E132" s="1" t="s" vm="154">
        <v>866</v>
      </c>
      <c r="F132" s="1" t="s">
        <v>802</v>
      </c>
      <c r="G132" s="1" t="s">
        <v>802</v>
      </c>
      <c r="H132" s="1" t="s">
        <v>802</v>
      </c>
      <c r="I132" s="1" t="s">
        <v>1370</v>
      </c>
      <c r="J132" s="1" t="s">
        <v>1370</v>
      </c>
      <c r="K132" s="1" t="s">
        <v>1370</v>
      </c>
      <c r="L132" s="1" t="s">
        <v>1370</v>
      </c>
      <c r="M132" s="1" t="s">
        <v>1370</v>
      </c>
      <c r="N132" s="1" t="s">
        <v>1370</v>
      </c>
      <c r="O132" s="1" t="s">
        <v>1370</v>
      </c>
    </row>
    <row r="133" spans="1:15" x14ac:dyDescent="0.2">
      <c r="A133" s="1" t="s">
        <v>608</v>
      </c>
      <c r="B133" s="1" t="s">
        <v>609</v>
      </c>
      <c r="C133" s="1" t="s" vm="126">
        <v>866</v>
      </c>
      <c r="D133" s="1" t="s" vm="126">
        <v>866</v>
      </c>
      <c r="E133" s="1" t="s" vm="126">
        <v>866</v>
      </c>
      <c r="F133" s="1" t="s">
        <v>802</v>
      </c>
      <c r="G133" s="1" t="s">
        <v>802</v>
      </c>
      <c r="H133" s="1" t="s">
        <v>802</v>
      </c>
      <c r="I133" s="1" t="s">
        <v>1370</v>
      </c>
      <c r="J133" s="1" t="s">
        <v>1370</v>
      </c>
      <c r="K133" s="1" t="s">
        <v>1370</v>
      </c>
      <c r="L133" s="1" t="s">
        <v>1370</v>
      </c>
      <c r="M133" s="1" t="s">
        <v>1370</v>
      </c>
      <c r="N133" s="1" t="s">
        <v>1370</v>
      </c>
      <c r="O133" s="1" t="s">
        <v>1370</v>
      </c>
    </row>
    <row r="134" spans="1:15" x14ac:dyDescent="0.2">
      <c r="A134" s="1" t="s">
        <v>190</v>
      </c>
      <c r="B134" s="1" t="s">
        <v>191</v>
      </c>
      <c r="C134" s="1" t="s" vm="163">
        <v>866</v>
      </c>
      <c r="D134" s="1" t="s" vm="163">
        <v>866</v>
      </c>
      <c r="E134" s="1" t="s" vm="163">
        <v>866</v>
      </c>
      <c r="F134" s="1" t="s">
        <v>802</v>
      </c>
      <c r="G134" s="1" t="s">
        <v>802</v>
      </c>
      <c r="H134" s="1" t="s">
        <v>802</v>
      </c>
      <c r="I134" s="1" t="s">
        <v>1370</v>
      </c>
      <c r="J134" s="1" t="s">
        <v>1370</v>
      </c>
      <c r="K134" s="1" t="s">
        <v>1370</v>
      </c>
      <c r="L134" s="1" t="s">
        <v>1370</v>
      </c>
      <c r="M134" s="1" t="s">
        <v>1370</v>
      </c>
      <c r="N134" s="1" t="s">
        <v>1370</v>
      </c>
      <c r="O134" s="1" t="s">
        <v>1370</v>
      </c>
    </row>
    <row r="135" spans="1:15" x14ac:dyDescent="0.2">
      <c r="A135" s="1" t="s">
        <v>591</v>
      </c>
      <c r="B135" s="1" t="s">
        <v>1085</v>
      </c>
      <c r="C135" s="1" t="s">
        <v>1370</v>
      </c>
      <c r="D135" s="1" t="s" vm="143">
        <v>799</v>
      </c>
      <c r="E135" s="1" t="s" vm="143">
        <v>799</v>
      </c>
      <c r="F135" s="1" t="s">
        <v>802</v>
      </c>
      <c r="G135" s="1" t="s">
        <v>802</v>
      </c>
      <c r="H135" s="1" t="s">
        <v>802</v>
      </c>
      <c r="I135" s="1" t="s">
        <v>1370</v>
      </c>
      <c r="J135" s="1" t="s">
        <v>1370</v>
      </c>
      <c r="K135" s="1" t="s">
        <v>1370</v>
      </c>
      <c r="L135" s="1" t="s">
        <v>1370</v>
      </c>
      <c r="M135" s="1" t="s">
        <v>1370</v>
      </c>
      <c r="N135" s="1" t="s">
        <v>1370</v>
      </c>
      <c r="O135" s="1" t="s">
        <v>1370</v>
      </c>
    </row>
    <row r="136" spans="1:15" x14ac:dyDescent="0.2">
      <c r="A136" s="1" t="s">
        <v>505</v>
      </c>
      <c r="B136" s="1" t="s">
        <v>506</v>
      </c>
      <c r="C136" s="1" t="s" vm="229">
        <v>799</v>
      </c>
      <c r="D136" s="1" t="s" vm="229">
        <v>799</v>
      </c>
      <c r="E136" s="1" t="s" vm="229">
        <v>799</v>
      </c>
      <c r="F136" s="1" t="s">
        <v>802</v>
      </c>
      <c r="G136" s="1" t="s">
        <v>802</v>
      </c>
      <c r="H136" s="1" t="s">
        <v>802</v>
      </c>
      <c r="I136" s="1" t="s">
        <v>1370</v>
      </c>
      <c r="J136" s="1" t="s">
        <v>1370</v>
      </c>
      <c r="K136" s="1" t="s">
        <v>1370</v>
      </c>
      <c r="L136" s="1" t="s">
        <v>1370</v>
      </c>
      <c r="M136" s="1" t="s">
        <v>1370</v>
      </c>
      <c r="N136" s="1" t="s">
        <v>1370</v>
      </c>
      <c r="O136" s="1" t="s">
        <v>1370</v>
      </c>
    </row>
    <row r="137" spans="1:15" x14ac:dyDescent="0.2">
      <c r="A137" s="1" t="s">
        <v>661</v>
      </c>
      <c r="B137" s="1" t="s">
        <v>662</v>
      </c>
      <c r="C137" s="1" t="s" vm="111">
        <v>799</v>
      </c>
      <c r="D137" s="1" t="s" vm="111">
        <v>799</v>
      </c>
      <c r="E137" s="1" t="s" vm="111">
        <v>799</v>
      </c>
      <c r="F137" s="1" t="s">
        <v>802</v>
      </c>
      <c r="G137" s="1" t="s">
        <v>802</v>
      </c>
      <c r="H137" s="1" t="s">
        <v>802</v>
      </c>
      <c r="I137" s="1" t="s">
        <v>1370</v>
      </c>
      <c r="J137" s="1" t="s">
        <v>1370</v>
      </c>
      <c r="K137" s="1" t="s">
        <v>1370</v>
      </c>
      <c r="L137" s="1" t="s">
        <v>1370</v>
      </c>
      <c r="M137" s="1" t="s">
        <v>1370</v>
      </c>
      <c r="N137" s="1" t="s">
        <v>1370</v>
      </c>
      <c r="O137" s="1" t="s">
        <v>1370</v>
      </c>
    </row>
    <row r="138" spans="1:15" x14ac:dyDescent="0.2">
      <c r="A138" s="1" t="s">
        <v>436</v>
      </c>
      <c r="B138" s="1" t="s">
        <v>437</v>
      </c>
      <c r="C138" s="1" t="s">
        <v>1369</v>
      </c>
      <c r="D138" s="1" t="s" vm="212">
        <v>925</v>
      </c>
      <c r="E138" s="1" t="s" vm="212">
        <v>925</v>
      </c>
      <c r="F138" s="1" t="s">
        <v>802</v>
      </c>
      <c r="G138" s="1" t="s">
        <v>802</v>
      </c>
      <c r="H138" s="1" t="s">
        <v>802</v>
      </c>
      <c r="I138" s="1" t="s">
        <v>1370</v>
      </c>
      <c r="J138" s="1" t="s">
        <v>1370</v>
      </c>
      <c r="K138" s="1" t="s">
        <v>1370</v>
      </c>
      <c r="L138" s="1" t="s">
        <v>1370</v>
      </c>
      <c r="M138" s="1" t="s">
        <v>1370</v>
      </c>
      <c r="N138" s="1" t="s">
        <v>1370</v>
      </c>
      <c r="O138" s="1" t="s">
        <v>1370</v>
      </c>
    </row>
    <row r="139" spans="1:15" x14ac:dyDescent="0.2">
      <c r="A139" s="1" t="s">
        <v>253</v>
      </c>
      <c r="B139" s="1" t="s">
        <v>859</v>
      </c>
      <c r="C139" s="1" t="s" vm="81">
        <v>819</v>
      </c>
      <c r="D139" s="1" t="s" vm="81">
        <v>819</v>
      </c>
      <c r="E139" s="1" t="s" vm="81">
        <v>819</v>
      </c>
      <c r="F139" s="1" t="s">
        <v>802</v>
      </c>
      <c r="G139" s="1" t="s">
        <v>802</v>
      </c>
      <c r="H139" s="1" t="s">
        <v>802</v>
      </c>
      <c r="I139" s="1" t="s">
        <v>1370</v>
      </c>
      <c r="J139" s="1" t="s">
        <v>1370</v>
      </c>
      <c r="K139" s="1" t="s">
        <v>1370</v>
      </c>
      <c r="L139" s="1" t="s">
        <v>1370</v>
      </c>
      <c r="M139" s="1" t="s">
        <v>1370</v>
      </c>
      <c r="N139" s="1" t="s">
        <v>1370</v>
      </c>
      <c r="O139" s="1" t="s">
        <v>1370</v>
      </c>
    </row>
    <row r="140" spans="1:15" x14ac:dyDescent="0.2">
      <c r="A140" s="1" t="s">
        <v>444</v>
      </c>
      <c r="B140" s="1" t="s">
        <v>445</v>
      </c>
      <c r="C140" s="1" t="s" vm="214">
        <v>819</v>
      </c>
      <c r="D140" s="1" t="s" vm="214">
        <v>819</v>
      </c>
      <c r="E140" s="1" t="s" vm="214">
        <v>819</v>
      </c>
      <c r="F140" s="1" t="s">
        <v>802</v>
      </c>
      <c r="G140" s="1" t="s">
        <v>802</v>
      </c>
      <c r="H140" s="1" t="s">
        <v>802</v>
      </c>
      <c r="I140" s="1" t="s">
        <v>1370</v>
      </c>
      <c r="J140" s="1" t="s">
        <v>1370</v>
      </c>
      <c r="K140" s="1" t="s">
        <v>1370</v>
      </c>
      <c r="L140" s="1" t="s">
        <v>1370</v>
      </c>
      <c r="M140" s="1" t="s">
        <v>1370</v>
      </c>
      <c r="N140" s="1" t="s">
        <v>1370</v>
      </c>
      <c r="O140" s="1" t="s">
        <v>1370</v>
      </c>
    </row>
    <row r="141" spans="1:15" x14ac:dyDescent="0.2">
      <c r="A141" s="1" t="s">
        <v>578</v>
      </c>
      <c r="B141" s="1" t="s">
        <v>1027</v>
      </c>
      <c r="C141" s="1" t="s" vm="225">
        <v>906</v>
      </c>
      <c r="D141" s="1" t="s" vm="225">
        <v>906</v>
      </c>
      <c r="E141" s="1" t="s" vm="225">
        <v>906</v>
      </c>
      <c r="F141" s="1" t="s">
        <v>802</v>
      </c>
      <c r="G141" s="1" t="s">
        <v>802</v>
      </c>
      <c r="H141" s="1" t="s">
        <v>802</v>
      </c>
      <c r="I141" s="1" t="s">
        <v>1370</v>
      </c>
      <c r="J141" s="1" t="s">
        <v>1370</v>
      </c>
      <c r="K141" s="1" t="s">
        <v>1370</v>
      </c>
      <c r="L141" s="1" t="s">
        <v>1370</v>
      </c>
      <c r="M141" s="1" t="s">
        <v>1370</v>
      </c>
      <c r="N141" s="1" t="s">
        <v>1370</v>
      </c>
      <c r="O141" s="1" t="s">
        <v>1370</v>
      </c>
    </row>
    <row r="142" spans="1:15" x14ac:dyDescent="0.2">
      <c r="A142" s="1" t="s">
        <v>254</v>
      </c>
      <c r="B142" s="1" t="s">
        <v>255</v>
      </c>
      <c r="C142" s="1" t="s">
        <v>1370</v>
      </c>
      <c r="D142" s="1" t="s" vm="168">
        <v>906</v>
      </c>
      <c r="E142" s="1" t="s" vm="168">
        <v>906</v>
      </c>
      <c r="F142" s="1" t="s">
        <v>802</v>
      </c>
      <c r="G142" s="1" t="s">
        <v>802</v>
      </c>
      <c r="H142" s="1" t="s">
        <v>802</v>
      </c>
      <c r="I142" s="1" t="s">
        <v>1370</v>
      </c>
      <c r="J142" s="1" t="s">
        <v>1370</v>
      </c>
      <c r="K142" s="1" t="s">
        <v>1370</v>
      </c>
      <c r="L142" s="1" t="s">
        <v>1370</v>
      </c>
      <c r="M142" s="1" t="s">
        <v>1370</v>
      </c>
      <c r="N142" s="1" t="s">
        <v>1370</v>
      </c>
      <c r="O142" s="1" t="s">
        <v>1370</v>
      </c>
    </row>
    <row r="143" spans="1:15" x14ac:dyDescent="0.2">
      <c r="A143" s="1" t="s">
        <v>457</v>
      </c>
      <c r="B143" s="1" t="s">
        <v>458</v>
      </c>
      <c r="C143" s="1" t="s" vm="172">
        <v>906</v>
      </c>
      <c r="D143" s="1" t="s" vm="172">
        <v>906</v>
      </c>
      <c r="E143" s="1" t="s" vm="172">
        <v>906</v>
      </c>
      <c r="F143" s="1" t="s">
        <v>802</v>
      </c>
      <c r="G143" s="1" t="s">
        <v>802</v>
      </c>
      <c r="H143" s="1" t="s">
        <v>802</v>
      </c>
      <c r="I143" s="1" t="s">
        <v>1370</v>
      </c>
      <c r="J143" s="1" t="s">
        <v>1370</v>
      </c>
      <c r="K143" s="1" t="s">
        <v>1370</v>
      </c>
      <c r="L143" s="1" t="s">
        <v>1370</v>
      </c>
      <c r="M143" s="1" t="s">
        <v>1370</v>
      </c>
      <c r="N143" s="1" t="s">
        <v>1370</v>
      </c>
      <c r="O143" s="1" t="s">
        <v>1370</v>
      </c>
    </row>
    <row r="144" spans="1:15" x14ac:dyDescent="0.2">
      <c r="A144" s="1" t="s">
        <v>115</v>
      </c>
      <c r="B144" s="1" t="s">
        <v>116</v>
      </c>
      <c r="C144" s="1" t="s" vm="157">
        <v>906</v>
      </c>
      <c r="D144" s="1" t="s" vm="157">
        <v>906</v>
      </c>
      <c r="E144" s="1" t="s" vm="157">
        <v>906</v>
      </c>
      <c r="F144" s="1" t="s">
        <v>802</v>
      </c>
      <c r="G144" s="1" t="s">
        <v>802</v>
      </c>
      <c r="H144" s="1" t="s">
        <v>802</v>
      </c>
      <c r="I144" s="1" t="s">
        <v>1370</v>
      </c>
      <c r="J144" s="1" t="s">
        <v>1370</v>
      </c>
      <c r="K144" s="1" t="s">
        <v>1370</v>
      </c>
      <c r="L144" s="1" t="s">
        <v>1370</v>
      </c>
      <c r="M144" s="1" t="s">
        <v>1370</v>
      </c>
      <c r="N144" s="1" t="s">
        <v>1370</v>
      </c>
      <c r="O144" s="1" t="s">
        <v>1370</v>
      </c>
    </row>
    <row r="145" spans="1:15" x14ac:dyDescent="0.2">
      <c r="A145" s="1" t="s">
        <v>501</v>
      </c>
      <c r="B145" s="1" t="s">
        <v>502</v>
      </c>
      <c r="C145" s="1" t="s" vm="145">
        <v>799</v>
      </c>
      <c r="D145" s="1" t="s" vm="145">
        <v>799</v>
      </c>
      <c r="E145" s="1" t="s" vm="145">
        <v>799</v>
      </c>
      <c r="F145" s="1" t="s">
        <v>802</v>
      </c>
      <c r="G145" s="1" t="s">
        <v>802</v>
      </c>
      <c r="H145" s="1" t="s">
        <v>802</v>
      </c>
      <c r="I145" s="1" t="s">
        <v>802</v>
      </c>
      <c r="J145" s="1" t="s">
        <v>1370</v>
      </c>
      <c r="K145" s="1" t="s">
        <v>1370</v>
      </c>
      <c r="L145" s="1" t="s">
        <v>1370</v>
      </c>
      <c r="M145" s="1" t="s">
        <v>1370</v>
      </c>
      <c r="N145" s="1" t="s">
        <v>1370</v>
      </c>
      <c r="O145" s="1" t="s">
        <v>1370</v>
      </c>
    </row>
    <row r="146" spans="1:15" x14ac:dyDescent="0.2">
      <c r="A146" s="1" t="s">
        <v>425</v>
      </c>
      <c r="B146" s="1" t="s">
        <v>915</v>
      </c>
      <c r="C146" s="1" t="s">
        <v>1370</v>
      </c>
      <c r="D146" s="1" t="s" vm="82">
        <v>819</v>
      </c>
      <c r="E146" s="1" t="s" vm="82">
        <v>819</v>
      </c>
      <c r="F146" s="1" t="s">
        <v>802</v>
      </c>
      <c r="G146" s="1" t="s">
        <v>802</v>
      </c>
      <c r="H146" s="1" t="s">
        <v>802</v>
      </c>
      <c r="I146" s="1" t="s">
        <v>802</v>
      </c>
      <c r="J146" s="1" t="s">
        <v>1370</v>
      </c>
      <c r="K146" s="1" t="s">
        <v>1370</v>
      </c>
      <c r="L146" s="1" t="s">
        <v>1370</v>
      </c>
      <c r="M146" s="1" t="s">
        <v>1370</v>
      </c>
      <c r="N146" s="1" t="s">
        <v>1370</v>
      </c>
      <c r="O146" s="1" t="s">
        <v>1370</v>
      </c>
    </row>
    <row r="147" spans="1:15" x14ac:dyDescent="0.2">
      <c r="A147" s="1" t="s">
        <v>318</v>
      </c>
      <c r="B147" s="1" t="s">
        <v>947</v>
      </c>
      <c r="C147" s="1" t="s" vm="217">
        <v>799</v>
      </c>
      <c r="D147" s="1" t="s" vm="217">
        <v>799</v>
      </c>
      <c r="E147" s="1" t="s" vm="217">
        <v>799</v>
      </c>
      <c r="F147" s="1" t="s">
        <v>802</v>
      </c>
      <c r="G147" s="1" t="s">
        <v>802</v>
      </c>
      <c r="H147" s="1" t="s">
        <v>802</v>
      </c>
      <c r="I147" s="1" t="s">
        <v>802</v>
      </c>
      <c r="J147" s="1" t="s">
        <v>802</v>
      </c>
      <c r="K147" s="1" t="s">
        <v>1370</v>
      </c>
      <c r="L147" s="1" t="s">
        <v>1370</v>
      </c>
      <c r="M147" s="1" t="s">
        <v>1370</v>
      </c>
      <c r="N147" s="1" t="s">
        <v>1370</v>
      </c>
      <c r="O147" s="1" t="s">
        <v>1370</v>
      </c>
    </row>
    <row r="148" spans="1:15" x14ac:dyDescent="0.2">
      <c r="A148" s="1" t="s">
        <v>261</v>
      </c>
      <c r="B148" s="1" t="s">
        <v>818</v>
      </c>
      <c r="C148" s="1" t="s" vm="76">
        <v>819</v>
      </c>
      <c r="D148" s="1" t="s" vm="76">
        <v>819</v>
      </c>
      <c r="E148" s="1" t="s" vm="76">
        <v>819</v>
      </c>
      <c r="F148" s="1" t="s">
        <v>802</v>
      </c>
      <c r="G148" s="1" t="s">
        <v>802</v>
      </c>
      <c r="H148" s="1" t="s">
        <v>802</v>
      </c>
      <c r="I148" s="1" t="s">
        <v>802</v>
      </c>
      <c r="J148" s="1" t="s">
        <v>802</v>
      </c>
      <c r="K148" s="1" t="s">
        <v>1370</v>
      </c>
      <c r="L148" s="1" t="s">
        <v>1370</v>
      </c>
      <c r="M148" s="1" t="s">
        <v>1370</v>
      </c>
      <c r="N148" s="1" t="s">
        <v>1370</v>
      </c>
      <c r="O148" s="1" t="s">
        <v>1370</v>
      </c>
    </row>
    <row r="149" spans="1:15" x14ac:dyDescent="0.2">
      <c r="A149" s="1" t="s">
        <v>202</v>
      </c>
      <c r="B149" s="1" t="s">
        <v>203</v>
      </c>
      <c r="C149" s="1" t="s" vm="141">
        <v>819</v>
      </c>
      <c r="D149" s="1" t="s" vm="141">
        <v>819</v>
      </c>
      <c r="E149" s="1" t="s" vm="141">
        <v>819</v>
      </c>
      <c r="F149" s="1" t="s">
        <v>802</v>
      </c>
      <c r="G149" s="1" t="s">
        <v>802</v>
      </c>
      <c r="H149" s="1" t="s">
        <v>802</v>
      </c>
      <c r="I149" s="1" t="s">
        <v>802</v>
      </c>
      <c r="J149" s="1" t="s">
        <v>802</v>
      </c>
      <c r="K149" s="1" t="s">
        <v>1370</v>
      </c>
      <c r="L149" s="1" t="s">
        <v>1370</v>
      </c>
      <c r="M149" s="1" t="s">
        <v>1370</v>
      </c>
      <c r="N149" s="1" t="s">
        <v>1370</v>
      </c>
      <c r="O149" s="1" t="s">
        <v>1370</v>
      </c>
    </row>
    <row r="150" spans="1:15" x14ac:dyDescent="0.2">
      <c r="A150" s="1" t="s">
        <v>325</v>
      </c>
      <c r="B150" s="1" t="s">
        <v>326</v>
      </c>
      <c r="C150" s="1" t="s" vm="80">
        <v>799</v>
      </c>
      <c r="D150" s="1" t="s" vm="80">
        <v>799</v>
      </c>
      <c r="E150" s="1" t="s" vm="80">
        <v>799</v>
      </c>
      <c r="F150" s="1" t="s">
        <v>802</v>
      </c>
      <c r="G150" s="1" t="s">
        <v>802</v>
      </c>
      <c r="H150" s="1" t="s">
        <v>802</v>
      </c>
      <c r="I150" s="1" t="s">
        <v>802</v>
      </c>
      <c r="J150" s="1" t="s">
        <v>802</v>
      </c>
      <c r="K150" s="1" t="s">
        <v>802</v>
      </c>
      <c r="L150" s="1" t="s">
        <v>1370</v>
      </c>
      <c r="M150" s="1" t="s">
        <v>1370</v>
      </c>
      <c r="N150" s="1" t="s">
        <v>1370</v>
      </c>
      <c r="O150" s="1" t="s">
        <v>1370</v>
      </c>
    </row>
    <row r="151" spans="1:15" x14ac:dyDescent="0.2">
      <c r="A151" s="1" t="s">
        <v>514</v>
      </c>
      <c r="B151" s="1" t="s">
        <v>515</v>
      </c>
      <c r="C151" s="1" t="s" vm="137">
        <v>842</v>
      </c>
      <c r="D151" s="1" t="s" vm="137">
        <v>842</v>
      </c>
      <c r="E151" s="1" t="s" vm="137">
        <v>842</v>
      </c>
      <c r="F151" s="1" t="s">
        <v>802</v>
      </c>
      <c r="G151" s="1" t="s">
        <v>802</v>
      </c>
      <c r="H151" s="1" t="s">
        <v>802</v>
      </c>
      <c r="I151" s="1" t="s">
        <v>802</v>
      </c>
      <c r="J151" s="1" t="s">
        <v>802</v>
      </c>
      <c r="K151" s="1" t="s">
        <v>802</v>
      </c>
      <c r="L151" s="1" t="s">
        <v>1370</v>
      </c>
      <c r="M151" s="1" t="s">
        <v>1370</v>
      </c>
      <c r="N151" s="1" t="s">
        <v>1370</v>
      </c>
      <c r="O151" s="1" t="s">
        <v>1370</v>
      </c>
    </row>
    <row r="152" spans="1:15" x14ac:dyDescent="0.2">
      <c r="A152" s="1" t="s">
        <v>438</v>
      </c>
      <c r="B152" s="1" t="s">
        <v>439</v>
      </c>
      <c r="C152" s="1" t="s" vm="213">
        <v>842</v>
      </c>
      <c r="D152" s="1" t="s" vm="213">
        <v>842</v>
      </c>
      <c r="E152" s="1" t="s" vm="213">
        <v>842</v>
      </c>
      <c r="F152" s="1" t="s">
        <v>802</v>
      </c>
      <c r="G152" s="1" t="s">
        <v>802</v>
      </c>
      <c r="H152" s="1" t="s">
        <v>802</v>
      </c>
      <c r="I152" s="1" t="s">
        <v>802</v>
      </c>
      <c r="J152" s="1" t="s">
        <v>802</v>
      </c>
      <c r="K152" s="1" t="s">
        <v>802</v>
      </c>
      <c r="L152" s="1" t="s">
        <v>1370</v>
      </c>
      <c r="M152" s="1" t="s">
        <v>1370</v>
      </c>
      <c r="N152" s="1" t="s">
        <v>1370</v>
      </c>
      <c r="O152" s="1" t="s">
        <v>1370</v>
      </c>
    </row>
    <row r="153" spans="1:15" x14ac:dyDescent="0.2">
      <c r="A153" s="1" t="s">
        <v>271</v>
      </c>
      <c r="B153" s="1" t="s">
        <v>272</v>
      </c>
      <c r="C153" s="1" t="s" vm="114">
        <v>925</v>
      </c>
      <c r="D153" s="1" t="s" vm="114">
        <v>925</v>
      </c>
      <c r="E153" s="1" t="s" vm="114">
        <v>925</v>
      </c>
      <c r="F153" s="1" t="s">
        <v>802</v>
      </c>
      <c r="G153" s="1" t="s">
        <v>802</v>
      </c>
      <c r="H153" s="1" t="s">
        <v>802</v>
      </c>
      <c r="I153" s="1" t="s">
        <v>802</v>
      </c>
      <c r="J153" s="1" t="s">
        <v>802</v>
      </c>
      <c r="K153" s="1" t="s">
        <v>802</v>
      </c>
      <c r="L153" s="1" t="s">
        <v>1370</v>
      </c>
      <c r="M153" s="1" t="s">
        <v>1370</v>
      </c>
      <c r="N153" s="1" t="s">
        <v>1370</v>
      </c>
      <c r="O153" s="1" t="s">
        <v>1370</v>
      </c>
    </row>
    <row r="154" spans="1:15" x14ac:dyDescent="0.2">
      <c r="A154" s="1" t="s">
        <v>56</v>
      </c>
      <c r="B154" s="1" t="s">
        <v>1003</v>
      </c>
      <c r="C154" s="1" t="s" vm="78">
        <v>842</v>
      </c>
      <c r="D154" s="1" t="s" vm="78">
        <v>842</v>
      </c>
      <c r="E154" s="1" t="s" vm="78">
        <v>842</v>
      </c>
      <c r="F154" s="1" t="s">
        <v>802</v>
      </c>
      <c r="G154" s="1" t="s">
        <v>802</v>
      </c>
      <c r="H154" s="1" t="s">
        <v>802</v>
      </c>
      <c r="I154" s="1" t="s">
        <v>802</v>
      </c>
      <c r="J154" s="1" t="s">
        <v>802</v>
      </c>
      <c r="K154" s="1" t="s">
        <v>802</v>
      </c>
      <c r="L154" s="1" t="s">
        <v>802</v>
      </c>
      <c r="M154" s="1" t="s">
        <v>1370</v>
      </c>
      <c r="N154" s="1" t="s">
        <v>1370</v>
      </c>
      <c r="O154" s="1" t="s">
        <v>1370</v>
      </c>
    </row>
    <row r="155" spans="1:15" x14ac:dyDescent="0.2">
      <c r="A155" s="1" t="s">
        <v>612</v>
      </c>
      <c r="B155" s="1" t="s">
        <v>1439</v>
      </c>
      <c r="C155" s="1" t="s" vm="136">
        <v>842</v>
      </c>
      <c r="D155" s="1" t="s" vm="136">
        <v>842</v>
      </c>
      <c r="E155" s="1" t="s" vm="136">
        <v>842</v>
      </c>
      <c r="F155" s="1" t="s">
        <v>802</v>
      </c>
      <c r="G155" s="1" t="s">
        <v>802</v>
      </c>
      <c r="H155" s="1" t="s">
        <v>802</v>
      </c>
      <c r="I155" s="1" t="s">
        <v>802</v>
      </c>
      <c r="J155" s="1" t="s">
        <v>802</v>
      </c>
      <c r="K155" s="1" t="s">
        <v>802</v>
      </c>
      <c r="L155" s="1" t="s">
        <v>802</v>
      </c>
      <c r="M155" s="1" t="s">
        <v>1370</v>
      </c>
      <c r="N155" s="1" t="s">
        <v>1370</v>
      </c>
      <c r="O155" s="1" t="s">
        <v>1370</v>
      </c>
    </row>
    <row r="156" spans="1:15" x14ac:dyDescent="0.2">
      <c r="A156" s="1" t="s">
        <v>493</v>
      </c>
      <c r="B156" s="1" t="s">
        <v>494</v>
      </c>
      <c r="C156" s="1" t="s" vm="215">
        <v>842</v>
      </c>
      <c r="D156" s="1" t="s" vm="215">
        <v>842</v>
      </c>
      <c r="E156" s="1" t="s" vm="215">
        <v>842</v>
      </c>
      <c r="F156" s="1" t="s">
        <v>802</v>
      </c>
      <c r="G156" s="1" t="s">
        <v>802</v>
      </c>
      <c r="H156" s="1" t="s">
        <v>802</v>
      </c>
      <c r="I156" s="1" t="s">
        <v>802</v>
      </c>
      <c r="J156" s="1" t="s">
        <v>802</v>
      </c>
      <c r="K156" s="1" t="s">
        <v>802</v>
      </c>
      <c r="L156" s="1" t="s">
        <v>802</v>
      </c>
      <c r="M156" s="1" t="s">
        <v>1370</v>
      </c>
      <c r="N156" s="1" t="s">
        <v>1370</v>
      </c>
      <c r="O156" s="1" t="s">
        <v>1370</v>
      </c>
    </row>
    <row r="157" spans="1:15" x14ac:dyDescent="0.2">
      <c r="A157" s="1" t="s">
        <v>122</v>
      </c>
      <c r="B157" s="1" t="s">
        <v>123</v>
      </c>
      <c r="C157" s="1" t="s" vm="79">
        <v>842</v>
      </c>
      <c r="D157" s="1" t="s" vm="79">
        <v>842</v>
      </c>
      <c r="E157" s="1" t="s" vm="79">
        <v>842</v>
      </c>
      <c r="F157" s="1" t="s">
        <v>802</v>
      </c>
      <c r="G157" s="1" t="s">
        <v>802</v>
      </c>
      <c r="H157" s="1" t="s">
        <v>802</v>
      </c>
      <c r="I157" s="1" t="s">
        <v>802</v>
      </c>
      <c r="J157" s="1" t="s">
        <v>802</v>
      </c>
      <c r="K157" s="1" t="s">
        <v>802</v>
      </c>
      <c r="L157" s="1" t="s">
        <v>802</v>
      </c>
      <c r="M157" s="1" t="s">
        <v>1370</v>
      </c>
      <c r="N157" s="1" t="s">
        <v>1370</v>
      </c>
      <c r="O157" s="1" t="s">
        <v>1370</v>
      </c>
    </row>
    <row r="158" spans="1:15" x14ac:dyDescent="0.2">
      <c r="A158" s="1" t="s">
        <v>596</v>
      </c>
      <c r="B158" s="1" t="s">
        <v>1432</v>
      </c>
      <c r="C158" s="1" t="s" vm="74">
        <v>842</v>
      </c>
      <c r="D158" s="1" t="s" vm="74">
        <v>842</v>
      </c>
      <c r="E158" s="1" t="s" vm="74">
        <v>842</v>
      </c>
      <c r="F158" s="1" t="s">
        <v>802</v>
      </c>
      <c r="G158" s="1" t="s">
        <v>802</v>
      </c>
      <c r="H158" s="1" t="s">
        <v>802</v>
      </c>
      <c r="I158" s="1" t="s">
        <v>802</v>
      </c>
      <c r="J158" s="1" t="s">
        <v>802</v>
      </c>
      <c r="K158" s="1" t="s">
        <v>802</v>
      </c>
      <c r="L158" s="1" t="s">
        <v>802</v>
      </c>
      <c r="M158" s="1" t="s">
        <v>1370</v>
      </c>
      <c r="N158" s="1" t="s">
        <v>1370</v>
      </c>
      <c r="O158" s="1" t="s">
        <v>1370</v>
      </c>
    </row>
    <row r="159" spans="1:15" x14ac:dyDescent="0.2">
      <c r="A159" s="1" t="s">
        <v>179</v>
      </c>
      <c r="B159" s="1" t="s">
        <v>180</v>
      </c>
      <c r="C159" s="1" t="s" vm="6">
        <v>1368</v>
      </c>
      <c r="D159" s="1" t="s" vm="1">
        <v>1368</v>
      </c>
      <c r="E159" s="1" t="s" vm="1">
        <v>1368</v>
      </c>
      <c r="F159" s="1" t="s">
        <v>1371</v>
      </c>
      <c r="G159" s="1" t="s">
        <v>1371</v>
      </c>
      <c r="H159" s="1" t="s">
        <v>1371</v>
      </c>
      <c r="I159" s="1" t="s">
        <v>1371</v>
      </c>
      <c r="J159" s="1" t="s">
        <v>1371</v>
      </c>
      <c r="K159" s="1" t="s">
        <v>1371</v>
      </c>
      <c r="L159" s="1" t="s">
        <v>1371</v>
      </c>
      <c r="M159" s="1" t="s">
        <v>1371</v>
      </c>
      <c r="N159" s="1" t="s">
        <v>1371</v>
      </c>
      <c r="O159" s="1" t="s">
        <v>1371</v>
      </c>
    </row>
    <row r="160" spans="1:15" x14ac:dyDescent="0.2">
      <c r="A160" s="1" t="s">
        <v>41</v>
      </c>
      <c r="B160" s="1" t="s">
        <v>42</v>
      </c>
      <c r="C160" s="1" t="s" vm="11">
        <v>1368</v>
      </c>
      <c r="D160" s="1" t="s" vm="11">
        <v>1368</v>
      </c>
      <c r="E160" s="1" t="s" vm="11">
        <v>1368</v>
      </c>
      <c r="F160" s="1" t="s">
        <v>1371</v>
      </c>
      <c r="G160" s="1" t="s">
        <v>1371</v>
      </c>
      <c r="H160" s="1" t="s">
        <v>1371</v>
      </c>
      <c r="I160" s="1" t="s">
        <v>1371</v>
      </c>
      <c r="J160" s="1" t="s">
        <v>1371</v>
      </c>
      <c r="K160" s="1" t="s">
        <v>1371</v>
      </c>
      <c r="L160" s="1" t="s">
        <v>1371</v>
      </c>
      <c r="M160" s="1" t="s">
        <v>1371</v>
      </c>
      <c r="N160" s="1" t="s">
        <v>1371</v>
      </c>
      <c r="O160" s="1" t="s">
        <v>1371</v>
      </c>
    </row>
    <row r="161" spans="1:15" x14ac:dyDescent="0.2">
      <c r="A161" s="1" t="s">
        <v>136</v>
      </c>
      <c r="B161" s="1" t="s">
        <v>137</v>
      </c>
      <c r="C161" s="1" t="s" vm="182">
        <v>1368</v>
      </c>
      <c r="D161" s="1" t="s" vm="182">
        <v>1368</v>
      </c>
      <c r="E161" s="1" t="s" vm="182">
        <v>1368</v>
      </c>
      <c r="F161" s="1" t="s">
        <v>1371</v>
      </c>
      <c r="G161" s="1" t="s">
        <v>1371</v>
      </c>
      <c r="H161" s="1" t="s">
        <v>1371</v>
      </c>
      <c r="I161" s="1" t="s">
        <v>1371</v>
      </c>
      <c r="J161" s="1" t="s">
        <v>1371</v>
      </c>
      <c r="K161" s="1" t="s">
        <v>1371</v>
      </c>
      <c r="L161" s="1" t="s">
        <v>1371</v>
      </c>
      <c r="M161" s="1" t="s">
        <v>1371</v>
      </c>
      <c r="N161" s="1" t="s">
        <v>1371</v>
      </c>
      <c r="O161" s="1" t="s">
        <v>1371</v>
      </c>
    </row>
    <row r="162" spans="1:15" x14ac:dyDescent="0.2">
      <c r="A162" s="1" t="s">
        <v>103</v>
      </c>
      <c r="B162" s="1" t="s">
        <v>1424</v>
      </c>
      <c r="C162" s="1" t="s" vm="8">
        <v>1368</v>
      </c>
      <c r="D162" s="1" t="s" vm="8">
        <v>1368</v>
      </c>
      <c r="E162" s="1" t="s" vm="8">
        <v>1368</v>
      </c>
      <c r="F162" s="1" t="s">
        <v>1371</v>
      </c>
      <c r="G162" s="1" t="s">
        <v>1371</v>
      </c>
      <c r="H162" s="1" t="s">
        <v>1371</v>
      </c>
      <c r="I162" s="1" t="s">
        <v>1371</v>
      </c>
      <c r="J162" s="1" t="s">
        <v>1371</v>
      </c>
      <c r="K162" s="1" t="s">
        <v>1371</v>
      </c>
      <c r="L162" s="1" t="s">
        <v>1371</v>
      </c>
      <c r="M162" s="1" t="s">
        <v>1371</v>
      </c>
      <c r="N162" s="1" t="s">
        <v>1371</v>
      </c>
      <c r="O162" s="1" t="s">
        <v>1371</v>
      </c>
    </row>
    <row r="163" spans="1:15" x14ac:dyDescent="0.2">
      <c r="A163" s="1" t="s">
        <v>111</v>
      </c>
      <c r="B163" s="1" t="s">
        <v>112</v>
      </c>
      <c r="C163" s="1" t="s" vm="13">
        <v>1368</v>
      </c>
      <c r="D163" s="1" t="s" vm="13">
        <v>1368</v>
      </c>
      <c r="E163" s="1" t="s" vm="13">
        <v>1368</v>
      </c>
      <c r="F163" s="1" t="s">
        <v>1371</v>
      </c>
      <c r="G163" s="1" t="s">
        <v>1371</v>
      </c>
      <c r="H163" s="1" t="s">
        <v>1371</v>
      </c>
      <c r="I163" s="1" t="s">
        <v>1371</v>
      </c>
      <c r="J163" s="1" t="s">
        <v>1371</v>
      </c>
      <c r="K163" s="1" t="s">
        <v>1371</v>
      </c>
      <c r="L163" s="1" t="s">
        <v>1371</v>
      </c>
      <c r="M163" s="1" t="s">
        <v>1371</v>
      </c>
      <c r="N163" s="1" t="s">
        <v>1371</v>
      </c>
      <c r="O163" s="1" t="s">
        <v>1371</v>
      </c>
    </row>
    <row r="164" spans="1:15" x14ac:dyDescent="0.2">
      <c r="A164" s="1" t="s">
        <v>134</v>
      </c>
      <c r="B164" s="1" t="s">
        <v>1129</v>
      </c>
      <c r="C164" s="1" t="s" vm="184">
        <v>1368</v>
      </c>
      <c r="D164" s="1" t="s" vm="184">
        <v>1368</v>
      </c>
      <c r="E164" s="1" t="s" vm="184">
        <v>1368</v>
      </c>
      <c r="F164" s="1" t="s">
        <v>1371</v>
      </c>
      <c r="G164" s="1" t="s">
        <v>1371</v>
      </c>
      <c r="H164" s="1" t="s">
        <v>1371</v>
      </c>
      <c r="I164" s="1" t="s">
        <v>1371</v>
      </c>
      <c r="J164" s="1" t="s">
        <v>1371</v>
      </c>
      <c r="K164" s="1" t="s">
        <v>1371</v>
      </c>
      <c r="L164" s="1" t="s">
        <v>1371</v>
      </c>
      <c r="M164" s="1" t="s">
        <v>1371</v>
      </c>
      <c r="N164" s="1" t="s">
        <v>1371</v>
      </c>
      <c r="O164" s="1" t="s">
        <v>1371</v>
      </c>
    </row>
    <row r="165" spans="1:15" x14ac:dyDescent="0.2">
      <c r="A165" s="1" t="s">
        <v>133</v>
      </c>
      <c r="B165" s="1" t="s">
        <v>1117</v>
      </c>
      <c r="C165" s="1" t="s" vm="9">
        <v>1368</v>
      </c>
      <c r="D165" s="1" t="s" vm="9">
        <v>1368</v>
      </c>
      <c r="E165" s="1" t="s" vm="9">
        <v>1368</v>
      </c>
      <c r="F165" s="1" t="s">
        <v>1371</v>
      </c>
      <c r="G165" s="1" t="s">
        <v>1371</v>
      </c>
      <c r="H165" s="1" t="s">
        <v>1371</v>
      </c>
      <c r="I165" s="1" t="s">
        <v>1371</v>
      </c>
      <c r="J165" s="1" t="s">
        <v>1371</v>
      </c>
      <c r="K165" s="1" t="s">
        <v>1371</v>
      </c>
      <c r="L165" s="1" t="s">
        <v>1371</v>
      </c>
      <c r="M165" s="1" t="s">
        <v>1371</v>
      </c>
      <c r="N165" s="1" t="s">
        <v>1371</v>
      </c>
      <c r="O165" s="1" t="s">
        <v>1371</v>
      </c>
    </row>
    <row r="166" spans="1:15" x14ac:dyDescent="0.2">
      <c r="A166" s="1" t="s">
        <v>171</v>
      </c>
      <c r="B166" s="1" t="s">
        <v>1120</v>
      </c>
      <c r="C166" s="1" t="s" vm="185">
        <v>1368</v>
      </c>
      <c r="D166" s="1" t="s" vm="185">
        <v>1368</v>
      </c>
      <c r="E166" s="1" t="s" vm="185">
        <v>1368</v>
      </c>
      <c r="F166" s="1" t="s">
        <v>1371</v>
      </c>
      <c r="G166" s="1" t="s">
        <v>1371</v>
      </c>
      <c r="H166" s="1" t="s">
        <v>1371</v>
      </c>
      <c r="I166" s="1" t="s">
        <v>1371</v>
      </c>
      <c r="J166" s="1" t="s">
        <v>1371</v>
      </c>
      <c r="K166" s="1" t="s">
        <v>1371</v>
      </c>
      <c r="L166" s="1" t="s">
        <v>1371</v>
      </c>
      <c r="M166" s="1" t="s">
        <v>1371</v>
      </c>
      <c r="N166" s="1" t="s">
        <v>1371</v>
      </c>
      <c r="O166" s="1" t="s">
        <v>1371</v>
      </c>
    </row>
    <row r="167" spans="1:15" x14ac:dyDescent="0.2">
      <c r="A167" s="1" t="s">
        <v>154</v>
      </c>
      <c r="B167" s="1" t="s">
        <v>155</v>
      </c>
      <c r="C167" s="1" t="s" vm="22">
        <v>1368</v>
      </c>
      <c r="D167" s="1" t="s" vm="22">
        <v>1368</v>
      </c>
      <c r="E167" s="1" t="s" vm="22">
        <v>1368</v>
      </c>
      <c r="F167" s="1" t="s">
        <v>1371</v>
      </c>
      <c r="G167" s="1" t="s">
        <v>1371</v>
      </c>
      <c r="H167" s="1" t="s">
        <v>1371</v>
      </c>
      <c r="I167" s="1" t="s">
        <v>1371</v>
      </c>
      <c r="J167" s="1" t="s">
        <v>1371</v>
      </c>
      <c r="K167" s="1" t="s">
        <v>1371</v>
      </c>
      <c r="L167" s="1" t="s">
        <v>1371</v>
      </c>
      <c r="M167" s="1" t="s">
        <v>1371</v>
      </c>
      <c r="N167" s="1" t="s">
        <v>1371</v>
      </c>
      <c r="O167" s="1" t="s">
        <v>1371</v>
      </c>
    </row>
    <row r="168" spans="1:15" x14ac:dyDescent="0.2">
      <c r="A168" s="1" t="s">
        <v>144</v>
      </c>
      <c r="B168" s="1" t="s">
        <v>994</v>
      </c>
      <c r="C168" s="1" t="s" vm="15">
        <v>1368</v>
      </c>
      <c r="D168" s="1" t="s" vm="15">
        <v>1368</v>
      </c>
      <c r="E168" s="1" t="s" vm="15">
        <v>1368</v>
      </c>
      <c r="F168" s="1" t="s">
        <v>1371</v>
      </c>
      <c r="G168" s="1" t="s">
        <v>1371</v>
      </c>
      <c r="H168" s="1" t="s">
        <v>1371</v>
      </c>
      <c r="I168" s="1" t="s">
        <v>1371</v>
      </c>
      <c r="J168" s="1" t="s">
        <v>1371</v>
      </c>
      <c r="K168" s="1" t="s">
        <v>1371</v>
      </c>
      <c r="L168" s="1" t="s">
        <v>1371</v>
      </c>
      <c r="M168" s="1" t="s">
        <v>1371</v>
      </c>
      <c r="N168" s="1" t="s">
        <v>1371</v>
      </c>
      <c r="O168" s="1" t="s">
        <v>1371</v>
      </c>
    </row>
    <row r="169" spans="1:15" x14ac:dyDescent="0.2">
      <c r="A169" s="1" t="s">
        <v>210</v>
      </c>
      <c r="B169" s="1" t="s">
        <v>211</v>
      </c>
      <c r="C169" s="1" t="s" vm="18">
        <v>1368</v>
      </c>
      <c r="D169" s="1" t="s" vm="18">
        <v>1368</v>
      </c>
      <c r="E169" s="1" t="s" vm="18">
        <v>1368</v>
      </c>
      <c r="F169" s="1" t="s">
        <v>1371</v>
      </c>
      <c r="G169" s="1" t="s">
        <v>1371</v>
      </c>
      <c r="H169" s="1" t="s">
        <v>1371</v>
      </c>
      <c r="I169" s="1" t="s">
        <v>1371</v>
      </c>
      <c r="J169" s="1" t="s">
        <v>1371</v>
      </c>
      <c r="K169" s="1" t="s">
        <v>1371</v>
      </c>
      <c r="L169" s="1" t="s">
        <v>1371</v>
      </c>
      <c r="M169" s="1" t="s">
        <v>1371</v>
      </c>
      <c r="N169" s="1" t="s">
        <v>1371</v>
      </c>
      <c r="O169" s="1" t="s">
        <v>1371</v>
      </c>
    </row>
    <row r="170" spans="1:15" x14ac:dyDescent="0.2">
      <c r="A170" s="1" t="s">
        <v>234</v>
      </c>
      <c r="B170" s="1" t="s">
        <v>1086</v>
      </c>
      <c r="C170" s="1" t="s">
        <v>1369</v>
      </c>
      <c r="D170" s="1" t="s" vm="23">
        <v>1368</v>
      </c>
      <c r="E170" s="1" t="s" vm="23">
        <v>1368</v>
      </c>
      <c r="F170" s="1" t="s">
        <v>1371</v>
      </c>
      <c r="G170" s="1" t="s">
        <v>1371</v>
      </c>
      <c r="H170" s="1" t="s">
        <v>1371</v>
      </c>
      <c r="I170" s="1" t="s">
        <v>1371</v>
      </c>
      <c r="J170" s="1" t="s">
        <v>1371</v>
      </c>
      <c r="K170" s="1" t="s">
        <v>1371</v>
      </c>
      <c r="L170" s="1" t="s">
        <v>1371</v>
      </c>
      <c r="M170" s="1" t="s">
        <v>1371</v>
      </c>
      <c r="N170" s="1" t="s">
        <v>1371</v>
      </c>
      <c r="O170" s="1" t="s">
        <v>1371</v>
      </c>
    </row>
    <row r="171" spans="1:15" x14ac:dyDescent="0.2">
      <c r="A171" s="1" t="s">
        <v>268</v>
      </c>
      <c r="B171" s="1" t="s">
        <v>269</v>
      </c>
      <c r="C171" s="1" t="s" vm="186">
        <v>1368</v>
      </c>
      <c r="D171" s="1" t="s" vm="186">
        <v>1368</v>
      </c>
      <c r="E171" s="1" t="s" vm="186">
        <v>1368</v>
      </c>
      <c r="F171" s="1" t="s">
        <v>1371</v>
      </c>
      <c r="G171" s="1" t="s">
        <v>1371</v>
      </c>
      <c r="H171" s="1" t="s">
        <v>1371</v>
      </c>
      <c r="I171" s="1" t="s">
        <v>1371</v>
      </c>
      <c r="J171" s="1" t="s">
        <v>1371</v>
      </c>
      <c r="K171" s="1" t="s">
        <v>1371</v>
      </c>
      <c r="L171" s="1" t="s">
        <v>1371</v>
      </c>
      <c r="M171" s="1" t="s">
        <v>1371</v>
      </c>
      <c r="N171" s="1" t="s">
        <v>1371</v>
      </c>
      <c r="O171" s="1" t="s">
        <v>1371</v>
      </c>
    </row>
    <row r="172" spans="1:15" x14ac:dyDescent="0.2">
      <c r="A172" s="1" t="s">
        <v>248</v>
      </c>
      <c r="B172" s="1" t="s">
        <v>249</v>
      </c>
      <c r="C172" s="1" t="s" vm="26">
        <v>1368</v>
      </c>
      <c r="D172" s="1" t="s" vm="26">
        <v>1368</v>
      </c>
      <c r="E172" s="1" t="s" vm="26">
        <v>1368</v>
      </c>
      <c r="F172" s="1" t="s">
        <v>1371</v>
      </c>
      <c r="G172" s="1" t="s">
        <v>1371</v>
      </c>
      <c r="H172" s="1" t="s">
        <v>1371</v>
      </c>
      <c r="I172" s="1" t="s">
        <v>1371</v>
      </c>
      <c r="J172" s="1" t="s">
        <v>1371</v>
      </c>
      <c r="K172" s="1" t="s">
        <v>1371</v>
      </c>
      <c r="L172" s="1" t="s">
        <v>1371</v>
      </c>
      <c r="M172" s="1" t="s">
        <v>1371</v>
      </c>
      <c r="N172" s="1" t="s">
        <v>1371</v>
      </c>
      <c r="O172" s="1" t="s">
        <v>1371</v>
      </c>
    </row>
    <row r="173" spans="1:15" x14ac:dyDescent="0.2">
      <c r="A173" s="1" t="s">
        <v>278</v>
      </c>
      <c r="B173" s="1" t="s">
        <v>1046</v>
      </c>
      <c r="C173" s="1" t="s" vm="24">
        <v>1368</v>
      </c>
      <c r="D173" s="1" t="s" vm="24">
        <v>1368</v>
      </c>
      <c r="E173" s="1" t="s" vm="24">
        <v>1368</v>
      </c>
      <c r="F173" s="1" t="s">
        <v>1371</v>
      </c>
      <c r="G173" s="1" t="s">
        <v>1371</v>
      </c>
      <c r="H173" s="1" t="s">
        <v>1371</v>
      </c>
      <c r="I173" s="1" t="s">
        <v>1371</v>
      </c>
      <c r="J173" s="1" t="s">
        <v>1371</v>
      </c>
      <c r="K173" s="1" t="s">
        <v>1371</v>
      </c>
      <c r="L173" s="1" t="s">
        <v>1371</v>
      </c>
      <c r="M173" s="1" t="s">
        <v>1371</v>
      </c>
      <c r="N173" s="1" t="s">
        <v>1371</v>
      </c>
      <c r="O173" s="1" t="s">
        <v>1371</v>
      </c>
    </row>
    <row r="174" spans="1:15" x14ac:dyDescent="0.2">
      <c r="A174" s="1" t="s">
        <v>295</v>
      </c>
      <c r="B174" s="1" t="s">
        <v>296</v>
      </c>
      <c r="C174" s="1" t="s" vm="187">
        <v>1368</v>
      </c>
      <c r="D174" s="1" t="s" vm="187">
        <v>1368</v>
      </c>
      <c r="E174" s="1" t="s" vm="187">
        <v>1368</v>
      </c>
      <c r="F174" s="1" t="s">
        <v>1371</v>
      </c>
      <c r="G174" s="1" t="s">
        <v>1371</v>
      </c>
      <c r="H174" s="1" t="s">
        <v>1371</v>
      </c>
      <c r="I174" s="1" t="s">
        <v>1371</v>
      </c>
      <c r="J174" s="1" t="s">
        <v>1371</v>
      </c>
      <c r="K174" s="1" t="s">
        <v>1371</v>
      </c>
      <c r="L174" s="1" t="s">
        <v>1371</v>
      </c>
      <c r="M174" s="1" t="s">
        <v>1371</v>
      </c>
      <c r="N174" s="1" t="s">
        <v>1371</v>
      </c>
      <c r="O174" s="1" t="s">
        <v>1371</v>
      </c>
    </row>
    <row r="175" spans="1:15" x14ac:dyDescent="0.2">
      <c r="A175" s="1" t="s">
        <v>297</v>
      </c>
      <c r="B175" s="1" t="s">
        <v>298</v>
      </c>
      <c r="C175" s="1" t="s" vm="28">
        <v>1368</v>
      </c>
      <c r="D175" s="1" t="s" vm="28">
        <v>1368</v>
      </c>
      <c r="E175" s="1" t="s" vm="28">
        <v>1368</v>
      </c>
      <c r="F175" s="1" t="s">
        <v>1371</v>
      </c>
      <c r="G175" s="1" t="s">
        <v>1371</v>
      </c>
      <c r="H175" s="1" t="s">
        <v>1371</v>
      </c>
      <c r="I175" s="1" t="s">
        <v>1371</v>
      </c>
      <c r="J175" s="1" t="s">
        <v>1371</v>
      </c>
      <c r="K175" s="1" t="s">
        <v>1371</v>
      </c>
      <c r="L175" s="1" t="s">
        <v>1371</v>
      </c>
      <c r="M175" s="1" t="s">
        <v>1371</v>
      </c>
      <c r="N175" s="1" t="s">
        <v>1371</v>
      </c>
      <c r="O175" s="1" t="s">
        <v>1371</v>
      </c>
    </row>
    <row r="176" spans="1:15" x14ac:dyDescent="0.2">
      <c r="A176" s="1" t="s">
        <v>286</v>
      </c>
      <c r="B176" s="1" t="s">
        <v>287</v>
      </c>
      <c r="C176" s="1" t="s" vm="25">
        <v>1368</v>
      </c>
      <c r="D176" s="1" t="s" vm="25">
        <v>1368</v>
      </c>
      <c r="E176" s="1" t="s" vm="25">
        <v>1368</v>
      </c>
      <c r="F176" s="1" t="s">
        <v>1371</v>
      </c>
      <c r="G176" s="1" t="s">
        <v>1371</v>
      </c>
      <c r="H176" s="1" t="s">
        <v>1371</v>
      </c>
      <c r="I176" s="1" t="s">
        <v>1371</v>
      </c>
      <c r="J176" s="1" t="s">
        <v>1371</v>
      </c>
      <c r="K176" s="1" t="s">
        <v>1371</v>
      </c>
      <c r="L176" s="1" t="s">
        <v>1371</v>
      </c>
      <c r="M176" s="1" t="s">
        <v>1371</v>
      </c>
      <c r="N176" s="1" t="s">
        <v>1371</v>
      </c>
      <c r="O176" s="1" t="s">
        <v>1371</v>
      </c>
    </row>
    <row r="177" spans="1:15" x14ac:dyDescent="0.2">
      <c r="A177" s="1" t="s">
        <v>288</v>
      </c>
      <c r="B177" s="1" t="s">
        <v>1131</v>
      </c>
      <c r="C177" s="1" t="s" vm="90">
        <v>1368</v>
      </c>
      <c r="D177" s="1" t="s" vm="90">
        <v>1368</v>
      </c>
      <c r="E177" s="1" t="s" vm="90">
        <v>1368</v>
      </c>
      <c r="F177" s="1" t="s">
        <v>1371</v>
      </c>
      <c r="G177" s="1" t="s">
        <v>1371</v>
      </c>
      <c r="H177" s="1" t="s">
        <v>1371</v>
      </c>
      <c r="I177" s="1" t="s">
        <v>1371</v>
      </c>
      <c r="J177" s="1" t="s">
        <v>1371</v>
      </c>
      <c r="K177" s="1" t="s">
        <v>1371</v>
      </c>
      <c r="L177" s="1" t="s">
        <v>1371</v>
      </c>
      <c r="M177" s="1" t="s">
        <v>1371</v>
      </c>
      <c r="N177" s="1" t="s">
        <v>1371</v>
      </c>
      <c r="O177" s="1" t="s">
        <v>1371</v>
      </c>
    </row>
    <row r="178" spans="1:15" x14ac:dyDescent="0.2">
      <c r="A178" s="1" t="s">
        <v>349</v>
      </c>
      <c r="B178" s="1" t="s">
        <v>1034</v>
      </c>
      <c r="C178" s="1" t="s" vm="30">
        <v>1368</v>
      </c>
      <c r="D178" s="1" t="s" vm="30">
        <v>1368</v>
      </c>
      <c r="E178" s="1" t="s" vm="30">
        <v>1368</v>
      </c>
      <c r="F178" s="1" t="s">
        <v>1371</v>
      </c>
      <c r="G178" s="1" t="s">
        <v>1371</v>
      </c>
      <c r="H178" s="1" t="s">
        <v>1371</v>
      </c>
      <c r="I178" s="1" t="s">
        <v>1371</v>
      </c>
      <c r="J178" s="1" t="s">
        <v>1371</v>
      </c>
      <c r="K178" s="1" t="s">
        <v>1371</v>
      </c>
      <c r="L178" s="1" t="s">
        <v>1371</v>
      </c>
      <c r="M178" s="1" t="s">
        <v>1371</v>
      </c>
      <c r="N178" s="1" t="s">
        <v>1371</v>
      </c>
      <c r="O178" s="1" t="s">
        <v>1371</v>
      </c>
    </row>
    <row r="179" spans="1:15" x14ac:dyDescent="0.2">
      <c r="A179" s="1" t="s">
        <v>329</v>
      </c>
      <c r="B179" s="1" t="s">
        <v>1442</v>
      </c>
      <c r="C179" s="1" t="s" vm="27">
        <v>1368</v>
      </c>
      <c r="D179" s="1" t="s" vm="27">
        <v>1368</v>
      </c>
      <c r="E179" s="1" t="s" vm="27">
        <v>1368</v>
      </c>
      <c r="F179" s="1" t="s">
        <v>1371</v>
      </c>
      <c r="G179" s="1" t="s">
        <v>1371</v>
      </c>
      <c r="H179" s="1" t="s">
        <v>1371</v>
      </c>
      <c r="I179" s="1" t="s">
        <v>1371</v>
      </c>
      <c r="J179" s="1" t="s">
        <v>1371</v>
      </c>
      <c r="K179" s="1" t="s">
        <v>1371</v>
      </c>
      <c r="L179" s="1" t="s">
        <v>1371</v>
      </c>
      <c r="M179" s="1" t="s">
        <v>1371</v>
      </c>
      <c r="N179" s="1" t="s">
        <v>1371</v>
      </c>
      <c r="O179" s="1" t="s">
        <v>1371</v>
      </c>
    </row>
    <row r="180" spans="1:15" x14ac:dyDescent="0.2">
      <c r="A180" s="1" t="s">
        <v>351</v>
      </c>
      <c r="B180" s="1" t="s">
        <v>352</v>
      </c>
      <c r="C180" s="1" t="s" vm="91">
        <v>1368</v>
      </c>
      <c r="D180" s="1" t="s" vm="91">
        <v>1368</v>
      </c>
      <c r="E180" s="1" t="s" vm="91">
        <v>1368</v>
      </c>
      <c r="F180" s="1" t="s">
        <v>1371</v>
      </c>
      <c r="G180" s="1" t="s">
        <v>1371</v>
      </c>
      <c r="H180" s="1" t="s">
        <v>1371</v>
      </c>
      <c r="I180" s="1" t="s">
        <v>1371</v>
      </c>
      <c r="J180" s="1" t="s">
        <v>1371</v>
      </c>
      <c r="K180" s="1" t="s">
        <v>1371</v>
      </c>
      <c r="L180" s="1" t="s">
        <v>1371</v>
      </c>
      <c r="M180" s="1" t="s">
        <v>1371</v>
      </c>
      <c r="N180" s="1" t="s">
        <v>1371</v>
      </c>
      <c r="O180" s="1" t="s">
        <v>1371</v>
      </c>
    </row>
    <row r="181" spans="1:15" x14ac:dyDescent="0.2">
      <c r="A181" s="1" t="s">
        <v>358</v>
      </c>
      <c r="B181" s="1" t="s">
        <v>359</v>
      </c>
      <c r="C181" s="1" t="s" vm="192">
        <v>1368</v>
      </c>
      <c r="D181" s="1" t="s" vm="192">
        <v>1368</v>
      </c>
      <c r="E181" s="1" t="s" vm="192">
        <v>1368</v>
      </c>
      <c r="F181" s="1" t="s">
        <v>1371</v>
      </c>
      <c r="G181" s="1" t="s">
        <v>1371</v>
      </c>
      <c r="H181" s="1" t="s">
        <v>1371</v>
      </c>
      <c r="I181" s="1" t="s">
        <v>1371</v>
      </c>
      <c r="J181" s="1" t="s">
        <v>1371</v>
      </c>
      <c r="K181" s="1" t="s">
        <v>1371</v>
      </c>
      <c r="L181" s="1" t="s">
        <v>1371</v>
      </c>
      <c r="M181" s="1" t="s">
        <v>1371</v>
      </c>
      <c r="N181" s="1" t="s">
        <v>1371</v>
      </c>
      <c r="O181" s="1" t="s">
        <v>1371</v>
      </c>
    </row>
    <row r="182" spans="1:15" x14ac:dyDescent="0.2">
      <c r="A182" s="1" t="s">
        <v>322</v>
      </c>
      <c r="B182" s="1" t="s">
        <v>1284</v>
      </c>
      <c r="C182" s="1" t="s" vm="31">
        <v>1368</v>
      </c>
      <c r="D182" s="1" t="s" vm="31">
        <v>1368</v>
      </c>
      <c r="E182" s="1" t="s" vm="31">
        <v>1368</v>
      </c>
      <c r="F182" s="1" t="s">
        <v>1371</v>
      </c>
      <c r="G182" s="1" t="s">
        <v>1371</v>
      </c>
      <c r="H182" s="1" t="s">
        <v>1371</v>
      </c>
      <c r="I182" s="1" t="s">
        <v>1371</v>
      </c>
      <c r="J182" s="1" t="s">
        <v>1371</v>
      </c>
      <c r="K182" s="1" t="s">
        <v>1371</v>
      </c>
      <c r="L182" s="1" t="s">
        <v>1371</v>
      </c>
      <c r="M182" s="1" t="s">
        <v>1371</v>
      </c>
      <c r="N182" s="1" t="s">
        <v>1371</v>
      </c>
      <c r="O182" s="1" t="s">
        <v>1371</v>
      </c>
    </row>
    <row r="183" spans="1:15" x14ac:dyDescent="0.2">
      <c r="A183" s="1" t="s">
        <v>401</v>
      </c>
      <c r="B183" s="1" t="s">
        <v>1443</v>
      </c>
      <c r="C183" s="1" t="s" vm="29">
        <v>1368</v>
      </c>
      <c r="D183" s="1" t="s" vm="29">
        <v>1368</v>
      </c>
      <c r="E183" s="1" t="s" vm="29">
        <v>1368</v>
      </c>
      <c r="F183" s="1" t="s">
        <v>1371</v>
      </c>
      <c r="G183" s="1" t="s">
        <v>1371</v>
      </c>
      <c r="H183" s="1" t="s">
        <v>1371</v>
      </c>
      <c r="I183" s="1" t="s">
        <v>1371</v>
      </c>
      <c r="J183" s="1" t="s">
        <v>1371</v>
      </c>
      <c r="K183" s="1" t="s">
        <v>1371</v>
      </c>
      <c r="L183" s="1" t="s">
        <v>1371</v>
      </c>
      <c r="M183" s="1" t="s">
        <v>1371</v>
      </c>
      <c r="N183" s="1" t="s">
        <v>1371</v>
      </c>
      <c r="O183" s="1" t="s">
        <v>1371</v>
      </c>
    </row>
    <row r="184" spans="1:15" x14ac:dyDescent="0.2">
      <c r="A184" s="1" t="s">
        <v>337</v>
      </c>
      <c r="B184" s="1" t="s">
        <v>1002</v>
      </c>
      <c r="C184" s="1" t="s" vm="92">
        <v>1368</v>
      </c>
      <c r="D184" s="1" t="s" vm="92">
        <v>1368</v>
      </c>
      <c r="E184" s="1" t="s" vm="92">
        <v>1368</v>
      </c>
      <c r="F184" s="1" t="s">
        <v>1371</v>
      </c>
      <c r="G184" s="1" t="s">
        <v>1371</v>
      </c>
      <c r="H184" s="1" t="s">
        <v>1371</v>
      </c>
      <c r="I184" s="1" t="s">
        <v>1371</v>
      </c>
      <c r="J184" s="1" t="s">
        <v>1371</v>
      </c>
      <c r="K184" s="1" t="s">
        <v>1371</v>
      </c>
      <c r="L184" s="1" t="s">
        <v>1371</v>
      </c>
      <c r="M184" s="1" t="s">
        <v>1371</v>
      </c>
      <c r="N184" s="1" t="s">
        <v>1371</v>
      </c>
      <c r="O184" s="1" t="s">
        <v>1371</v>
      </c>
    </row>
    <row r="185" spans="1:15" x14ac:dyDescent="0.2">
      <c r="A185" s="1" t="s">
        <v>383</v>
      </c>
      <c r="B185" s="1" t="s">
        <v>384</v>
      </c>
      <c r="C185" s="1" t="s" vm="190">
        <v>1368</v>
      </c>
      <c r="D185" s="1" t="s" vm="190">
        <v>1368</v>
      </c>
      <c r="E185" s="1" t="s" vm="190">
        <v>1368</v>
      </c>
      <c r="F185" s="1" t="s">
        <v>1371</v>
      </c>
      <c r="G185" s="1" t="s">
        <v>1371</v>
      </c>
      <c r="H185" s="1" t="s">
        <v>1371</v>
      </c>
      <c r="I185" s="1" t="s">
        <v>1371</v>
      </c>
      <c r="J185" s="1" t="s">
        <v>1371</v>
      </c>
      <c r="K185" s="1" t="s">
        <v>1371</v>
      </c>
      <c r="L185" s="1" t="s">
        <v>1371</v>
      </c>
      <c r="M185" s="1" t="s">
        <v>1371</v>
      </c>
      <c r="N185" s="1" t="s">
        <v>1371</v>
      </c>
      <c r="O185" s="1" t="s">
        <v>1371</v>
      </c>
    </row>
    <row r="186" spans="1:15" x14ac:dyDescent="0.2">
      <c r="A186" s="1" t="s">
        <v>588</v>
      </c>
      <c r="B186" s="1" t="s">
        <v>977</v>
      </c>
      <c r="C186" s="1" t="s" vm="32">
        <v>1368</v>
      </c>
      <c r="D186" s="1" t="s" vm="32">
        <v>1368</v>
      </c>
      <c r="E186" s="1" t="s" vm="32">
        <v>1368</v>
      </c>
      <c r="F186" s="1" t="s">
        <v>1371</v>
      </c>
      <c r="G186" s="1" t="s">
        <v>1371</v>
      </c>
      <c r="H186" s="1" t="s">
        <v>1371</v>
      </c>
      <c r="I186" s="1" t="s">
        <v>1371</v>
      </c>
      <c r="J186" s="1" t="s">
        <v>1371</v>
      </c>
      <c r="K186" s="1" t="s">
        <v>1371</v>
      </c>
      <c r="L186" s="1" t="s">
        <v>1371</v>
      </c>
      <c r="M186" s="1" t="s">
        <v>1371</v>
      </c>
      <c r="N186" s="1" t="s">
        <v>1371</v>
      </c>
      <c r="O186" s="1" t="s">
        <v>1371</v>
      </c>
    </row>
    <row r="187" spans="1:15" x14ac:dyDescent="0.2">
      <c r="A187" s="1" t="s">
        <v>404</v>
      </c>
      <c r="B187" s="1" t="s">
        <v>405</v>
      </c>
      <c r="C187" s="1" t="s" vm="33">
        <v>1368</v>
      </c>
      <c r="D187" s="1" t="s" vm="33">
        <v>1368</v>
      </c>
      <c r="E187" s="1" t="s" vm="33">
        <v>1368</v>
      </c>
      <c r="F187" s="1" t="s">
        <v>1371</v>
      </c>
      <c r="G187" s="1" t="s">
        <v>1371</v>
      </c>
      <c r="H187" s="1" t="s">
        <v>1371</v>
      </c>
      <c r="I187" s="1" t="s">
        <v>1371</v>
      </c>
      <c r="J187" s="1" t="s">
        <v>1371</v>
      </c>
      <c r="K187" s="1" t="s">
        <v>1371</v>
      </c>
      <c r="L187" s="1" t="s">
        <v>1371</v>
      </c>
      <c r="M187" s="1" t="s">
        <v>1371</v>
      </c>
      <c r="N187" s="1" t="s">
        <v>1371</v>
      </c>
      <c r="O187" s="1" t="s">
        <v>1371</v>
      </c>
    </row>
    <row r="188" spans="1:15" x14ac:dyDescent="0.2">
      <c r="A188" s="1" t="s">
        <v>385</v>
      </c>
      <c r="B188" s="1" t="s">
        <v>386</v>
      </c>
      <c r="C188" s="1" t="s" vm="93">
        <v>1368</v>
      </c>
      <c r="D188" s="1" t="s" vm="93">
        <v>1368</v>
      </c>
      <c r="E188" s="1" t="s" vm="93">
        <v>1368</v>
      </c>
      <c r="F188" s="1" t="s">
        <v>1371</v>
      </c>
      <c r="G188" s="1" t="s">
        <v>1371</v>
      </c>
      <c r="H188" s="1" t="s">
        <v>1371</v>
      </c>
      <c r="I188" s="1" t="s">
        <v>1371</v>
      </c>
      <c r="J188" s="1" t="s">
        <v>1371</v>
      </c>
      <c r="K188" s="1" t="s">
        <v>1371</v>
      </c>
      <c r="L188" s="1" t="s">
        <v>1371</v>
      </c>
      <c r="M188" s="1" t="s">
        <v>1371</v>
      </c>
      <c r="N188" s="1" t="s">
        <v>1371</v>
      </c>
      <c r="O188" s="1" t="s">
        <v>1371</v>
      </c>
    </row>
    <row r="189" spans="1:15" x14ac:dyDescent="0.2">
      <c r="A189" s="1" t="s">
        <v>380</v>
      </c>
      <c r="B189" s="1" t="s">
        <v>941</v>
      </c>
      <c r="C189" s="1" t="s" vm="242">
        <v>1368</v>
      </c>
      <c r="D189" s="1" t="s" vm="242">
        <v>1368</v>
      </c>
      <c r="E189" s="1" t="s" vm="242">
        <v>1368</v>
      </c>
      <c r="F189" s="1" t="s">
        <v>1371</v>
      </c>
      <c r="G189" s="1" t="s">
        <v>1371</v>
      </c>
      <c r="H189" s="1" t="s">
        <v>1371</v>
      </c>
      <c r="I189" s="1" t="s">
        <v>1371</v>
      </c>
      <c r="J189" s="1" t="s">
        <v>1371</v>
      </c>
      <c r="K189" s="1" t="s">
        <v>1371</v>
      </c>
      <c r="L189" s="1" t="s">
        <v>1371</v>
      </c>
      <c r="M189" s="1" t="s">
        <v>1371</v>
      </c>
      <c r="N189" s="1" t="s">
        <v>1371</v>
      </c>
      <c r="O189" s="1" t="s">
        <v>1371</v>
      </c>
    </row>
    <row r="190" spans="1:15" x14ac:dyDescent="0.2">
      <c r="A190" s="1" t="s">
        <v>394</v>
      </c>
      <c r="B190" s="1" t="s">
        <v>395</v>
      </c>
      <c r="C190" s="1" t="s" vm="36">
        <v>1368</v>
      </c>
      <c r="D190" s="1" t="s" vm="36">
        <v>1368</v>
      </c>
      <c r="E190" s="1" t="s" vm="36">
        <v>1368</v>
      </c>
      <c r="F190" s="1" t="s">
        <v>1371</v>
      </c>
      <c r="G190" s="1" t="s">
        <v>1371</v>
      </c>
      <c r="H190" s="1" t="s">
        <v>1371</v>
      </c>
      <c r="I190" s="1" t="s">
        <v>1371</v>
      </c>
      <c r="J190" s="1" t="s">
        <v>1371</v>
      </c>
      <c r="K190" s="1" t="s">
        <v>1371</v>
      </c>
      <c r="L190" s="1" t="s">
        <v>1371</v>
      </c>
      <c r="M190" s="1" t="s">
        <v>1371</v>
      </c>
      <c r="N190" s="1" t="s">
        <v>1371</v>
      </c>
      <c r="O190" s="1" t="s">
        <v>1371</v>
      </c>
    </row>
    <row r="191" spans="1:15" x14ac:dyDescent="0.2">
      <c r="A191" s="1" t="s">
        <v>399</v>
      </c>
      <c r="B191" s="1" t="s">
        <v>1444</v>
      </c>
      <c r="C191" s="1" t="s" vm="34">
        <v>1368</v>
      </c>
      <c r="D191" s="1" t="s" vm="34">
        <v>1368</v>
      </c>
      <c r="E191" s="1" t="s" vm="34">
        <v>1368</v>
      </c>
      <c r="F191" s="1" t="s">
        <v>1371</v>
      </c>
      <c r="G191" s="1" t="s">
        <v>1371</v>
      </c>
      <c r="H191" s="1" t="s">
        <v>1371</v>
      </c>
      <c r="I191" s="1" t="s">
        <v>1371</v>
      </c>
      <c r="J191" s="1" t="s">
        <v>1371</v>
      </c>
      <c r="K191" s="1" t="s">
        <v>1371</v>
      </c>
      <c r="L191" s="1" t="s">
        <v>1371</v>
      </c>
      <c r="M191" s="1" t="s">
        <v>1371</v>
      </c>
      <c r="N191" s="1" t="s">
        <v>1371</v>
      </c>
      <c r="O191" s="1" t="s">
        <v>1371</v>
      </c>
    </row>
    <row r="192" spans="1:15" x14ac:dyDescent="0.2">
      <c r="A192" s="1" t="s">
        <v>450</v>
      </c>
      <c r="B192" s="1" t="s">
        <v>1111</v>
      </c>
      <c r="C192" s="1" t="s" vm="38">
        <v>1368</v>
      </c>
      <c r="D192" s="1" t="s" vm="38">
        <v>1368</v>
      </c>
      <c r="E192" s="1" t="s" vm="38">
        <v>1368</v>
      </c>
      <c r="F192" s="1" t="s">
        <v>1371</v>
      </c>
      <c r="G192" s="1" t="s">
        <v>1371</v>
      </c>
      <c r="H192" s="1" t="s">
        <v>1371</v>
      </c>
      <c r="I192" s="1" t="s">
        <v>1371</v>
      </c>
      <c r="J192" s="1" t="s">
        <v>1371</v>
      </c>
      <c r="K192" s="1" t="s">
        <v>1371</v>
      </c>
      <c r="L192" s="1" t="s">
        <v>1371</v>
      </c>
      <c r="M192" s="1" t="s">
        <v>1371</v>
      </c>
      <c r="N192" s="1" t="s">
        <v>1371</v>
      </c>
      <c r="O192" s="1" t="s">
        <v>1371</v>
      </c>
    </row>
    <row r="193" spans="1:15" x14ac:dyDescent="0.2">
      <c r="A193" s="1" t="s">
        <v>468</v>
      </c>
      <c r="B193" s="1" t="s">
        <v>1012</v>
      </c>
      <c r="C193" s="1" t="s" vm="35">
        <v>1368</v>
      </c>
      <c r="D193" s="1" t="s" vm="35">
        <v>1368</v>
      </c>
      <c r="E193" s="1" t="s" vm="35">
        <v>1368</v>
      </c>
      <c r="F193" s="1" t="s">
        <v>1371</v>
      </c>
      <c r="G193" s="1" t="s">
        <v>1371</v>
      </c>
      <c r="H193" s="1" t="s">
        <v>1371</v>
      </c>
      <c r="I193" s="1" t="s">
        <v>1371</v>
      </c>
      <c r="J193" s="1" t="s">
        <v>1371</v>
      </c>
      <c r="K193" s="1" t="s">
        <v>1371</v>
      </c>
      <c r="L193" s="1" t="s">
        <v>1371</v>
      </c>
      <c r="M193" s="1" t="s">
        <v>1371</v>
      </c>
      <c r="N193" s="1" t="s">
        <v>1371</v>
      </c>
      <c r="O193" s="1" t="s">
        <v>1371</v>
      </c>
    </row>
    <row r="194" spans="1:15" x14ac:dyDescent="0.2">
      <c r="A194" s="1" t="s">
        <v>372</v>
      </c>
      <c r="B194" s="1" t="s">
        <v>1426</v>
      </c>
      <c r="C194" s="1" t="s" vm="39">
        <v>1368</v>
      </c>
      <c r="D194" s="1" t="s" vm="39">
        <v>1368</v>
      </c>
      <c r="E194" s="1" t="s" vm="39">
        <v>1368</v>
      </c>
      <c r="F194" s="1" t="s">
        <v>1371</v>
      </c>
      <c r="G194" s="1" t="s">
        <v>1371</v>
      </c>
      <c r="H194" s="1" t="s">
        <v>1371</v>
      </c>
      <c r="I194" s="1" t="s">
        <v>1371</v>
      </c>
      <c r="J194" s="1" t="s">
        <v>1371</v>
      </c>
      <c r="K194" s="1" t="s">
        <v>1371</v>
      </c>
      <c r="L194" s="1" t="s">
        <v>1371</v>
      </c>
      <c r="M194" s="1" t="s">
        <v>1371</v>
      </c>
      <c r="N194" s="1" t="s">
        <v>1371</v>
      </c>
      <c r="O194" s="1" t="s">
        <v>1371</v>
      </c>
    </row>
    <row r="195" spans="1:15" x14ac:dyDescent="0.2">
      <c r="A195" s="1" t="s">
        <v>402</v>
      </c>
      <c r="B195" s="1" t="s">
        <v>403</v>
      </c>
      <c r="C195" s="1" t="s" vm="37">
        <v>1368</v>
      </c>
      <c r="D195" s="1" t="s" vm="37">
        <v>1368</v>
      </c>
      <c r="E195" s="1" t="s" vm="37">
        <v>1368</v>
      </c>
      <c r="F195" s="1" t="s">
        <v>1371</v>
      </c>
      <c r="G195" s="1" t="s">
        <v>1371</v>
      </c>
      <c r="H195" s="1" t="s">
        <v>1371</v>
      </c>
      <c r="I195" s="1" t="s">
        <v>1371</v>
      </c>
      <c r="J195" s="1" t="s">
        <v>1371</v>
      </c>
      <c r="K195" s="1" t="s">
        <v>1371</v>
      </c>
      <c r="L195" s="1" t="s">
        <v>1371</v>
      </c>
      <c r="M195" s="1" t="s">
        <v>1371</v>
      </c>
      <c r="N195" s="1" t="s">
        <v>1371</v>
      </c>
      <c r="O195" s="1" t="s">
        <v>1371</v>
      </c>
    </row>
    <row r="196" spans="1:15" x14ac:dyDescent="0.2">
      <c r="A196" s="1" t="s">
        <v>525</v>
      </c>
      <c r="B196" s="1" t="s">
        <v>526</v>
      </c>
      <c r="C196" s="1" t="s" vm="40">
        <v>1368</v>
      </c>
      <c r="D196" s="1" t="s" vm="40">
        <v>1368</v>
      </c>
      <c r="E196" s="1" t="s" vm="40">
        <v>1368</v>
      </c>
      <c r="F196" s="1" t="s">
        <v>1371</v>
      </c>
      <c r="G196" s="1" t="s">
        <v>1371</v>
      </c>
      <c r="H196" s="1" t="s">
        <v>1371</v>
      </c>
      <c r="I196" s="1" t="s">
        <v>1371</v>
      </c>
      <c r="J196" s="1" t="s">
        <v>1371</v>
      </c>
      <c r="K196" s="1" t="s">
        <v>1371</v>
      </c>
      <c r="L196" s="1" t="s">
        <v>1371</v>
      </c>
      <c r="M196" s="1" t="s">
        <v>1371</v>
      </c>
      <c r="N196" s="1" t="s">
        <v>1371</v>
      </c>
      <c r="O196" s="1" t="s">
        <v>1371</v>
      </c>
    </row>
    <row r="197" spans="1:15" x14ac:dyDescent="0.2">
      <c r="A197" s="1" t="s">
        <v>553</v>
      </c>
      <c r="B197" s="1" t="s">
        <v>554</v>
      </c>
      <c r="C197" s="1" t="s" vm="196">
        <v>1368</v>
      </c>
      <c r="D197" s="1" t="s" vm="196">
        <v>1368</v>
      </c>
      <c r="E197" s="1" t="s" vm="196">
        <v>1368</v>
      </c>
      <c r="F197" s="1" t="s">
        <v>1371</v>
      </c>
      <c r="G197" s="1" t="s">
        <v>1371</v>
      </c>
      <c r="H197" s="1" t="s">
        <v>1371</v>
      </c>
      <c r="I197" s="1" t="s">
        <v>1371</v>
      </c>
      <c r="J197" s="1" t="s">
        <v>1371</v>
      </c>
      <c r="K197" s="1" t="s">
        <v>1371</v>
      </c>
      <c r="L197" s="1" t="s">
        <v>1371</v>
      </c>
      <c r="M197" s="1" t="s">
        <v>1371</v>
      </c>
      <c r="N197" s="1" t="s">
        <v>1371</v>
      </c>
      <c r="O197" s="1" t="s">
        <v>1371</v>
      </c>
    </row>
    <row r="198" spans="1:15" x14ac:dyDescent="0.2">
      <c r="A198" s="1" t="s">
        <v>535</v>
      </c>
      <c r="B198" s="1" t="s">
        <v>536</v>
      </c>
      <c r="C198" s="1" t="s" vm="43">
        <v>1368</v>
      </c>
      <c r="D198" s="1" t="s" vm="43">
        <v>1368</v>
      </c>
      <c r="E198" s="1" t="s" vm="43">
        <v>1368</v>
      </c>
      <c r="F198" s="1" t="s">
        <v>1371</v>
      </c>
      <c r="G198" s="1" t="s">
        <v>1371</v>
      </c>
      <c r="H198" s="1" t="s">
        <v>1371</v>
      </c>
      <c r="I198" s="1" t="s">
        <v>1371</v>
      </c>
      <c r="J198" s="1" t="s">
        <v>1371</v>
      </c>
      <c r="K198" s="1" t="s">
        <v>1371</v>
      </c>
      <c r="L198" s="1" t="s">
        <v>1371</v>
      </c>
      <c r="M198" s="1" t="s">
        <v>1371</v>
      </c>
      <c r="N198" s="1" t="s">
        <v>1371</v>
      </c>
      <c r="O198" s="1" t="s">
        <v>1371</v>
      </c>
    </row>
    <row r="199" spans="1:15" x14ac:dyDescent="0.2">
      <c r="A199" s="1" t="s">
        <v>555</v>
      </c>
      <c r="B199" s="1" t="s">
        <v>1064</v>
      </c>
      <c r="C199" s="1" t="s" vm="100">
        <v>1368</v>
      </c>
      <c r="D199" s="1" t="s" vm="100">
        <v>1368</v>
      </c>
      <c r="E199" s="1" t="s" vm="100">
        <v>1368</v>
      </c>
      <c r="F199" s="1" t="s">
        <v>1371</v>
      </c>
      <c r="G199" s="1" t="s">
        <v>1371</v>
      </c>
      <c r="H199" s="1" t="s">
        <v>1371</v>
      </c>
      <c r="I199" s="1" t="s">
        <v>1371</v>
      </c>
      <c r="J199" s="1" t="s">
        <v>1371</v>
      </c>
      <c r="K199" s="1" t="s">
        <v>1371</v>
      </c>
      <c r="L199" s="1" t="s">
        <v>1371</v>
      </c>
      <c r="M199" s="1" t="s">
        <v>1371</v>
      </c>
      <c r="N199" s="1" t="s">
        <v>1371</v>
      </c>
      <c r="O199" s="1" t="s">
        <v>1371</v>
      </c>
    </row>
    <row r="200" spans="1:15" x14ac:dyDescent="0.2">
      <c r="A200" s="1" t="s">
        <v>520</v>
      </c>
      <c r="B200" s="1" t="s">
        <v>1149</v>
      </c>
      <c r="C200" s="1" t="s" vm="198">
        <v>1368</v>
      </c>
      <c r="D200" s="1" t="s" vm="198">
        <v>1368</v>
      </c>
      <c r="E200" s="1" t="s" vm="198">
        <v>1368</v>
      </c>
      <c r="F200" s="1" t="s">
        <v>1371</v>
      </c>
      <c r="G200" s="1" t="s">
        <v>1371</v>
      </c>
      <c r="H200" s="1" t="s">
        <v>1371</v>
      </c>
      <c r="I200" s="1" t="s">
        <v>1371</v>
      </c>
      <c r="J200" s="1" t="s">
        <v>1371</v>
      </c>
      <c r="K200" s="1" t="s">
        <v>1371</v>
      </c>
      <c r="L200" s="1" t="s">
        <v>1371</v>
      </c>
      <c r="M200" s="1" t="s">
        <v>1371</v>
      </c>
      <c r="N200" s="1" t="s">
        <v>1371</v>
      </c>
      <c r="O200" s="1" t="s">
        <v>1371</v>
      </c>
    </row>
    <row r="201" spans="1:15" x14ac:dyDescent="0.2">
      <c r="A201" s="1" t="s">
        <v>522</v>
      </c>
      <c r="B201" s="1" t="s">
        <v>523</v>
      </c>
      <c r="C201" s="1" t="s" vm="45">
        <v>1368</v>
      </c>
      <c r="D201" s="1" t="s" vm="45">
        <v>1368</v>
      </c>
      <c r="E201" s="1" t="s" vm="45">
        <v>1368</v>
      </c>
      <c r="F201" s="1" t="s">
        <v>1371</v>
      </c>
      <c r="G201" s="1" t="s">
        <v>1371</v>
      </c>
      <c r="H201" s="1" t="s">
        <v>1371</v>
      </c>
      <c r="I201" s="1" t="s">
        <v>1371</v>
      </c>
      <c r="J201" s="1" t="s">
        <v>1371</v>
      </c>
      <c r="K201" s="1" t="s">
        <v>1371</v>
      </c>
      <c r="L201" s="1" t="s">
        <v>1371</v>
      </c>
      <c r="M201" s="1" t="s">
        <v>1371</v>
      </c>
      <c r="N201" s="1" t="s">
        <v>1371</v>
      </c>
      <c r="O201" s="1" t="s">
        <v>1371</v>
      </c>
    </row>
    <row r="202" spans="1:15" x14ac:dyDescent="0.2">
      <c r="A202" s="1" t="s">
        <v>551</v>
      </c>
      <c r="B202" s="1" t="s">
        <v>552</v>
      </c>
      <c r="C202" s="1" t="s" vm="44">
        <v>1368</v>
      </c>
      <c r="D202" s="1" t="s" vm="44">
        <v>1368</v>
      </c>
      <c r="E202" s="1" t="s" vm="44">
        <v>1368</v>
      </c>
      <c r="F202" s="1" t="s">
        <v>1371</v>
      </c>
      <c r="G202" s="1" t="s">
        <v>1371</v>
      </c>
      <c r="H202" s="1" t="s">
        <v>1371</v>
      </c>
      <c r="I202" s="1" t="s">
        <v>1371</v>
      </c>
      <c r="J202" s="1" t="s">
        <v>1371</v>
      </c>
      <c r="K202" s="1" t="s">
        <v>1371</v>
      </c>
      <c r="L202" s="1" t="s">
        <v>1371</v>
      </c>
      <c r="M202" s="1" t="s">
        <v>1371</v>
      </c>
      <c r="N202" s="1" t="s">
        <v>1371</v>
      </c>
      <c r="O202" s="1" t="s">
        <v>1371</v>
      </c>
    </row>
    <row r="203" spans="1:15" x14ac:dyDescent="0.2">
      <c r="A203" s="1" t="s">
        <v>549</v>
      </c>
      <c r="B203" s="1" t="s">
        <v>550</v>
      </c>
      <c r="C203" s="1" t="s" vm="102">
        <v>1368</v>
      </c>
      <c r="D203" s="1" t="s" vm="102">
        <v>1368</v>
      </c>
      <c r="E203" s="1" t="s" vm="102">
        <v>1368</v>
      </c>
      <c r="F203" s="1" t="s">
        <v>1371</v>
      </c>
      <c r="G203" s="1" t="s">
        <v>1371</v>
      </c>
      <c r="H203" s="1" t="s">
        <v>1371</v>
      </c>
      <c r="I203" s="1" t="s">
        <v>1371</v>
      </c>
      <c r="J203" s="1" t="s">
        <v>1371</v>
      </c>
      <c r="K203" s="1" t="s">
        <v>1371</v>
      </c>
      <c r="L203" s="1" t="s">
        <v>1371</v>
      </c>
      <c r="M203" s="1" t="s">
        <v>1371</v>
      </c>
      <c r="N203" s="1" t="s">
        <v>1371</v>
      </c>
      <c r="O203" s="1" t="s">
        <v>1371</v>
      </c>
    </row>
    <row r="204" spans="1:15" x14ac:dyDescent="0.2">
      <c r="A204" s="1" t="s">
        <v>366</v>
      </c>
      <c r="B204" s="1" t="s">
        <v>1151</v>
      </c>
      <c r="C204" s="1" t="s" vm="46">
        <v>1368</v>
      </c>
      <c r="D204" s="1" t="s" vm="46">
        <v>1368</v>
      </c>
      <c r="E204" s="1" t="s" vm="46">
        <v>1368</v>
      </c>
      <c r="F204" s="1" t="s">
        <v>1371</v>
      </c>
      <c r="G204" s="1" t="s">
        <v>1371</v>
      </c>
      <c r="H204" s="1" t="s">
        <v>1371</v>
      </c>
      <c r="I204" s="1" t="s">
        <v>1371</v>
      </c>
      <c r="J204" s="1" t="s">
        <v>1371</v>
      </c>
      <c r="K204" s="1" t="s">
        <v>1371</v>
      </c>
      <c r="L204" s="1" t="s">
        <v>1371</v>
      </c>
      <c r="M204" s="1" t="s">
        <v>1371</v>
      </c>
      <c r="N204" s="1" t="s">
        <v>1371</v>
      </c>
      <c r="O204" s="1" t="s">
        <v>1371</v>
      </c>
    </row>
    <row r="205" spans="1:15" x14ac:dyDescent="0.2">
      <c r="A205" s="1" t="s">
        <v>440</v>
      </c>
      <c r="B205" s="1" t="s">
        <v>1102</v>
      </c>
      <c r="C205" s="1" t="s" vm="47">
        <v>1368</v>
      </c>
      <c r="D205" s="1" t="s" vm="47">
        <v>1368</v>
      </c>
      <c r="E205" s="1" t="s" vm="47">
        <v>1368</v>
      </c>
      <c r="F205" s="1" t="s">
        <v>1371</v>
      </c>
      <c r="G205" s="1" t="s">
        <v>1371</v>
      </c>
      <c r="H205" s="1" t="s">
        <v>1371</v>
      </c>
      <c r="I205" s="1" t="s">
        <v>1371</v>
      </c>
      <c r="J205" s="1" t="s">
        <v>1371</v>
      </c>
      <c r="K205" s="1" t="s">
        <v>1371</v>
      </c>
      <c r="L205" s="1" t="s">
        <v>1371</v>
      </c>
      <c r="M205" s="1" t="s">
        <v>1371</v>
      </c>
      <c r="N205" s="1" t="s">
        <v>1371</v>
      </c>
      <c r="O205" s="1" t="s">
        <v>1371</v>
      </c>
    </row>
    <row r="206" spans="1:15" x14ac:dyDescent="0.2">
      <c r="A206" s="1" t="s">
        <v>85</v>
      </c>
      <c r="B206" s="1" t="s">
        <v>1427</v>
      </c>
      <c r="C206" s="1" t="s" vm="105">
        <v>1368</v>
      </c>
      <c r="D206" s="1" t="s" vm="105">
        <v>1368</v>
      </c>
      <c r="E206" s="1" t="s" vm="105">
        <v>1368</v>
      </c>
      <c r="F206" s="1" t="s">
        <v>1371</v>
      </c>
      <c r="G206" s="1" t="s">
        <v>1371</v>
      </c>
      <c r="H206" s="1" t="s">
        <v>1371</v>
      </c>
      <c r="I206" s="1" t="s">
        <v>1371</v>
      </c>
      <c r="J206" s="1" t="s">
        <v>1371</v>
      </c>
      <c r="K206" s="1" t="s">
        <v>1371</v>
      </c>
      <c r="L206" s="1" t="s">
        <v>1371</v>
      </c>
      <c r="M206" s="1" t="s">
        <v>1371</v>
      </c>
      <c r="N206" s="1" t="s">
        <v>1371</v>
      </c>
      <c r="O206" s="1" t="s">
        <v>1371</v>
      </c>
    </row>
    <row r="207" spans="1:15" x14ac:dyDescent="0.2">
      <c r="A207" s="1" t="s">
        <v>603</v>
      </c>
      <c r="B207" s="1" t="s">
        <v>604</v>
      </c>
      <c r="C207" s="1" t="s" vm="50">
        <v>1368</v>
      </c>
      <c r="D207" s="1" t="s" vm="50">
        <v>1368</v>
      </c>
      <c r="E207" s="1" t="s" vm="50">
        <v>1368</v>
      </c>
      <c r="F207" s="1" t="s">
        <v>1371</v>
      </c>
      <c r="G207" s="1" t="s">
        <v>1371</v>
      </c>
      <c r="H207" s="1" t="s">
        <v>1371</v>
      </c>
      <c r="I207" s="1" t="s">
        <v>1371</v>
      </c>
      <c r="J207" s="1" t="s">
        <v>1371</v>
      </c>
      <c r="K207" s="1" t="s">
        <v>1371</v>
      </c>
      <c r="L207" s="1" t="s">
        <v>1371</v>
      </c>
      <c r="M207" s="1" t="s">
        <v>1371</v>
      </c>
      <c r="N207" s="1" t="s">
        <v>1371</v>
      </c>
      <c r="O207" s="1" t="s">
        <v>1371</v>
      </c>
    </row>
    <row r="208" spans="1:15" x14ac:dyDescent="0.2">
      <c r="A208" s="1" t="s">
        <v>598</v>
      </c>
      <c r="B208" s="1" t="s">
        <v>599</v>
      </c>
      <c r="C208" s="1" t="s" vm="106">
        <v>1368</v>
      </c>
      <c r="D208" s="1" t="s" vm="106">
        <v>1368</v>
      </c>
      <c r="E208" s="1" t="s" vm="106">
        <v>1368</v>
      </c>
      <c r="F208" s="1" t="s">
        <v>1371</v>
      </c>
      <c r="G208" s="1" t="s">
        <v>1371</v>
      </c>
      <c r="H208" s="1" t="s">
        <v>1371</v>
      </c>
      <c r="I208" s="1" t="s">
        <v>1371</v>
      </c>
      <c r="J208" s="1" t="s">
        <v>1371</v>
      </c>
      <c r="K208" s="1" t="s">
        <v>1371</v>
      </c>
      <c r="L208" s="1" t="s">
        <v>1371</v>
      </c>
      <c r="M208" s="1" t="s">
        <v>1371</v>
      </c>
      <c r="N208" s="1" t="s">
        <v>1371</v>
      </c>
      <c r="O208" s="1" t="s">
        <v>1371</v>
      </c>
    </row>
    <row r="209" spans="1:15" x14ac:dyDescent="0.2">
      <c r="A209" s="1" t="s">
        <v>423</v>
      </c>
      <c r="B209" s="1" t="s">
        <v>1445</v>
      </c>
      <c r="C209" s="1" t="s" vm="199">
        <v>1368</v>
      </c>
      <c r="D209" s="1" t="s" vm="199">
        <v>1368</v>
      </c>
      <c r="E209" s="1" t="s" vm="199">
        <v>1368</v>
      </c>
      <c r="F209" s="1" t="s">
        <v>1371</v>
      </c>
      <c r="G209" s="1" t="s">
        <v>1371</v>
      </c>
      <c r="H209" s="1" t="s">
        <v>1371</v>
      </c>
      <c r="I209" s="1" t="s">
        <v>1371</v>
      </c>
      <c r="J209" s="1" t="s">
        <v>1371</v>
      </c>
      <c r="K209" s="1" t="s">
        <v>1371</v>
      </c>
      <c r="L209" s="1" t="s">
        <v>1371</v>
      </c>
      <c r="M209" s="1" t="s">
        <v>1371</v>
      </c>
      <c r="N209" s="1" t="s">
        <v>1371</v>
      </c>
      <c r="O209" s="1" t="s">
        <v>1371</v>
      </c>
    </row>
    <row r="210" spans="1:15" x14ac:dyDescent="0.2">
      <c r="A210" s="1" t="s">
        <v>632</v>
      </c>
      <c r="B210" s="1" t="s">
        <v>633</v>
      </c>
      <c r="C210" s="1" t="s" vm="49">
        <v>1368</v>
      </c>
      <c r="D210" s="1" t="s" vm="49">
        <v>1368</v>
      </c>
      <c r="E210" s="1" t="s" vm="49">
        <v>1368</v>
      </c>
      <c r="F210" s="1" t="s">
        <v>1371</v>
      </c>
      <c r="G210" s="1" t="s">
        <v>1371</v>
      </c>
      <c r="H210" s="1" t="s">
        <v>1371</v>
      </c>
      <c r="I210" s="1" t="s">
        <v>1371</v>
      </c>
      <c r="J210" s="1" t="s">
        <v>1371</v>
      </c>
      <c r="K210" s="1" t="s">
        <v>1371</v>
      </c>
      <c r="L210" s="1" t="s">
        <v>1371</v>
      </c>
      <c r="M210" s="1" t="s">
        <v>1371</v>
      </c>
      <c r="N210" s="1" t="s">
        <v>1371</v>
      </c>
      <c r="O210" s="1" t="s">
        <v>1371</v>
      </c>
    </row>
    <row r="211" spans="1:15" x14ac:dyDescent="0.2">
      <c r="A211" s="1" t="s">
        <v>374</v>
      </c>
      <c r="B211" s="1" t="s">
        <v>1010</v>
      </c>
      <c r="C211" s="1" t="s" vm="51">
        <v>1368</v>
      </c>
      <c r="D211" s="1" t="s" vm="51">
        <v>1368</v>
      </c>
      <c r="E211" s="1" t="s" vm="51">
        <v>1368</v>
      </c>
      <c r="F211" s="1" t="s">
        <v>1371</v>
      </c>
      <c r="G211" s="1" t="s">
        <v>1371</v>
      </c>
      <c r="H211" s="1" t="s">
        <v>1371</v>
      </c>
      <c r="I211" s="1" t="s">
        <v>1371</v>
      </c>
      <c r="J211" s="1" t="s">
        <v>1371</v>
      </c>
      <c r="K211" s="1" t="s">
        <v>1371</v>
      </c>
      <c r="L211" s="1" t="s">
        <v>1371</v>
      </c>
      <c r="M211" s="1" t="s">
        <v>1371</v>
      </c>
      <c r="N211" s="1" t="s">
        <v>1371</v>
      </c>
      <c r="O211" s="1" t="s">
        <v>1371</v>
      </c>
    </row>
    <row r="212" spans="1:15" x14ac:dyDescent="0.2">
      <c r="A212" s="1" t="s">
        <v>487</v>
      </c>
      <c r="B212" s="1" t="s">
        <v>791</v>
      </c>
      <c r="C212" s="1" t="s" vm="107">
        <v>1368</v>
      </c>
      <c r="D212" s="1" t="s" vm="107">
        <v>1368</v>
      </c>
      <c r="E212" s="1" t="s" vm="107">
        <v>1368</v>
      </c>
      <c r="F212" s="1" t="s">
        <v>1371</v>
      </c>
      <c r="G212" s="1" t="s">
        <v>1371</v>
      </c>
      <c r="H212" s="1" t="s">
        <v>1371</v>
      </c>
      <c r="I212" s="1" t="s">
        <v>1371</v>
      </c>
      <c r="J212" s="1" t="s">
        <v>1371</v>
      </c>
      <c r="K212" s="1" t="s">
        <v>1371</v>
      </c>
      <c r="L212" s="1" t="s">
        <v>1371</v>
      </c>
      <c r="M212" s="1" t="s">
        <v>1371</v>
      </c>
      <c r="N212" s="1" t="s">
        <v>1371</v>
      </c>
      <c r="O212" s="1" t="s">
        <v>1371</v>
      </c>
    </row>
    <row r="213" spans="1:15" x14ac:dyDescent="0.2">
      <c r="A213" s="1" t="s">
        <v>648</v>
      </c>
      <c r="B213" s="1" t="s">
        <v>1112</v>
      </c>
      <c r="C213" s="1" t="s" vm="55">
        <v>1368</v>
      </c>
      <c r="D213" s="1" t="s" vm="55">
        <v>1368</v>
      </c>
      <c r="E213" s="1" t="s" vm="55">
        <v>1368</v>
      </c>
      <c r="F213" s="1" t="s">
        <v>1371</v>
      </c>
      <c r="G213" s="1" t="s">
        <v>1371</v>
      </c>
      <c r="H213" s="1" t="s">
        <v>1371</v>
      </c>
      <c r="I213" s="1" t="s">
        <v>1371</v>
      </c>
      <c r="J213" s="1" t="s">
        <v>1371</v>
      </c>
      <c r="K213" s="1" t="s">
        <v>1371</v>
      </c>
      <c r="L213" s="1" t="s">
        <v>1371</v>
      </c>
      <c r="M213" s="1" t="s">
        <v>1371</v>
      </c>
      <c r="N213" s="1" t="s">
        <v>1371</v>
      </c>
      <c r="O213" s="1" t="s">
        <v>1371</v>
      </c>
    </row>
    <row r="214" spans="1:15" x14ac:dyDescent="0.2">
      <c r="A214" s="1" t="s">
        <v>650</v>
      </c>
      <c r="B214" s="1" t="s">
        <v>816</v>
      </c>
      <c r="C214" s="1" t="s" vm="108">
        <v>1368</v>
      </c>
      <c r="D214" s="1" t="s" vm="108">
        <v>1368</v>
      </c>
      <c r="E214" s="1" t="s" vm="108">
        <v>1368</v>
      </c>
      <c r="F214" s="1" t="s">
        <v>1371</v>
      </c>
      <c r="G214" s="1" t="s">
        <v>1371</v>
      </c>
      <c r="H214" s="1" t="s">
        <v>1371</v>
      </c>
      <c r="I214" s="1" t="s">
        <v>1371</v>
      </c>
      <c r="J214" s="1" t="s">
        <v>1371</v>
      </c>
      <c r="K214" s="1" t="s">
        <v>1371</v>
      </c>
      <c r="L214" s="1" t="s">
        <v>1371</v>
      </c>
      <c r="M214" s="1" t="s">
        <v>1371</v>
      </c>
      <c r="N214" s="1" t="s">
        <v>1371</v>
      </c>
      <c r="O214" s="1" t="s">
        <v>1371</v>
      </c>
    </row>
    <row r="215" spans="1:15" x14ac:dyDescent="0.2">
      <c r="A215" s="1" t="s">
        <v>644</v>
      </c>
      <c r="B215" s="1" t="s">
        <v>645</v>
      </c>
      <c r="C215" s="1" t="s" vm="202">
        <v>1368</v>
      </c>
      <c r="D215" s="1" t="s" vm="202">
        <v>1368</v>
      </c>
      <c r="E215" s="1" t="s" vm="202">
        <v>1368</v>
      </c>
      <c r="F215" s="1" t="s">
        <v>1371</v>
      </c>
      <c r="G215" s="1" t="s">
        <v>1371</v>
      </c>
      <c r="H215" s="1" t="s">
        <v>1371</v>
      </c>
      <c r="I215" s="1" t="s">
        <v>1371</v>
      </c>
      <c r="J215" s="1" t="s">
        <v>1371</v>
      </c>
      <c r="K215" s="1" t="s">
        <v>1371</v>
      </c>
      <c r="L215" s="1" t="s">
        <v>1371</v>
      </c>
      <c r="M215" s="1" t="s">
        <v>1371</v>
      </c>
      <c r="N215" s="1" t="s">
        <v>1371</v>
      </c>
      <c r="O215" s="1" t="s">
        <v>1371</v>
      </c>
    </row>
    <row r="216" spans="1:15" x14ac:dyDescent="0.2">
      <c r="A216" s="1" t="s">
        <v>652</v>
      </c>
      <c r="B216" s="1" t="s">
        <v>653</v>
      </c>
      <c r="C216" s="1" t="s" vm="53">
        <v>1368</v>
      </c>
      <c r="D216" s="1" t="s" vm="53">
        <v>1368</v>
      </c>
      <c r="E216" s="1" t="s" vm="53">
        <v>1368</v>
      </c>
      <c r="F216" s="1" t="s">
        <v>1371</v>
      </c>
      <c r="G216" s="1" t="s">
        <v>1371</v>
      </c>
      <c r="H216" s="1" t="s">
        <v>1371</v>
      </c>
      <c r="I216" s="1" t="s">
        <v>1371</v>
      </c>
      <c r="J216" s="1" t="s">
        <v>1371</v>
      </c>
      <c r="K216" s="1" t="s">
        <v>1371</v>
      </c>
      <c r="L216" s="1" t="s">
        <v>1371</v>
      </c>
      <c r="M216" s="1" t="s">
        <v>1371</v>
      </c>
      <c r="N216" s="1" t="s">
        <v>1371</v>
      </c>
      <c r="O216" s="1" t="s">
        <v>1371</v>
      </c>
    </row>
    <row r="217" spans="1:15" x14ac:dyDescent="0.2">
      <c r="A217" s="1" t="s">
        <v>657</v>
      </c>
      <c r="B217" s="1" t="s">
        <v>658</v>
      </c>
      <c r="C217" s="1" t="s" vm="58">
        <v>1368</v>
      </c>
      <c r="D217" s="1" t="s" vm="58">
        <v>1368</v>
      </c>
      <c r="E217" s="1" t="s" vm="58">
        <v>1368</v>
      </c>
      <c r="F217" s="1" t="s">
        <v>1371</v>
      </c>
      <c r="G217" s="1" t="s">
        <v>1371</v>
      </c>
      <c r="H217" s="1" t="s">
        <v>1371</v>
      </c>
      <c r="I217" s="1" t="s">
        <v>1371</v>
      </c>
      <c r="J217" s="1" t="s">
        <v>1371</v>
      </c>
      <c r="K217" s="1" t="s">
        <v>1371</v>
      </c>
      <c r="L217" s="1" t="s">
        <v>1371</v>
      </c>
      <c r="M217" s="1" t="s">
        <v>1371</v>
      </c>
      <c r="N217" s="1" t="s">
        <v>1371</v>
      </c>
      <c r="O217" s="1" t="s">
        <v>1371</v>
      </c>
    </row>
    <row r="218" spans="1:15" x14ac:dyDescent="0.2">
      <c r="A218" s="1" t="s">
        <v>663</v>
      </c>
      <c r="B218" s="1" t="s">
        <v>664</v>
      </c>
      <c r="C218" s="1" t="s" vm="109">
        <v>1368</v>
      </c>
      <c r="D218" s="1" t="s" vm="109">
        <v>1368</v>
      </c>
      <c r="E218" s="1" t="s" vm="109">
        <v>1368</v>
      </c>
      <c r="F218" s="1" t="s">
        <v>1371</v>
      </c>
      <c r="G218" s="1" t="s">
        <v>1371</v>
      </c>
      <c r="H218" s="1" t="s">
        <v>1371</v>
      </c>
      <c r="I218" s="1" t="s">
        <v>1371</v>
      </c>
      <c r="J218" s="1" t="s">
        <v>1371</v>
      </c>
      <c r="K218" s="1" t="s">
        <v>1371</v>
      </c>
      <c r="L218" s="1" t="s">
        <v>1371</v>
      </c>
      <c r="M218" s="1" t="s">
        <v>1371</v>
      </c>
      <c r="N218" s="1" t="s">
        <v>1371</v>
      </c>
      <c r="O218" s="1" t="s">
        <v>1371</v>
      </c>
    </row>
    <row r="219" spans="1:15" x14ac:dyDescent="0.2">
      <c r="A219" s="1" t="s">
        <v>320</v>
      </c>
      <c r="B219" s="1" t="s">
        <v>982</v>
      </c>
      <c r="C219" s="1" t="s" vm="203">
        <v>1368</v>
      </c>
      <c r="D219" s="1" t="s" vm="203">
        <v>1368</v>
      </c>
      <c r="E219" s="1" t="s" vm="203">
        <v>1368</v>
      </c>
      <c r="F219" s="1" t="s">
        <v>1371</v>
      </c>
      <c r="G219" s="1" t="s">
        <v>1371</v>
      </c>
      <c r="H219" s="1" t="s">
        <v>1371</v>
      </c>
      <c r="I219" s="1" t="s">
        <v>1371</v>
      </c>
      <c r="J219" s="1" t="s">
        <v>1371</v>
      </c>
      <c r="K219" s="1" t="s">
        <v>1371</v>
      </c>
      <c r="L219" s="1" t="s">
        <v>1371</v>
      </c>
      <c r="M219" s="1" t="s">
        <v>1371</v>
      </c>
      <c r="N219" s="1" t="s">
        <v>1371</v>
      </c>
      <c r="O219" s="1" t="s">
        <v>1371</v>
      </c>
    </row>
    <row r="220" spans="1:15" x14ac:dyDescent="0.2">
      <c r="A220" s="1" t="s">
        <v>571</v>
      </c>
      <c r="B220" s="1" t="s">
        <v>1152</v>
      </c>
      <c r="C220" s="1" t="s" vm="61">
        <v>1368</v>
      </c>
      <c r="D220" s="1" t="s" vm="61">
        <v>1368</v>
      </c>
      <c r="E220" s="1" t="s" vm="61">
        <v>1368</v>
      </c>
      <c r="F220" s="1" t="s">
        <v>1371</v>
      </c>
      <c r="G220" s="1" t="s">
        <v>1371</v>
      </c>
      <c r="H220" s="1" t="s">
        <v>1371</v>
      </c>
      <c r="I220" s="1" t="s">
        <v>1371</v>
      </c>
      <c r="J220" s="1" t="s">
        <v>1371</v>
      </c>
      <c r="K220" s="1" t="s">
        <v>1371</v>
      </c>
      <c r="L220" s="1" t="s">
        <v>1371</v>
      </c>
      <c r="M220" s="1" t="s">
        <v>1371</v>
      </c>
      <c r="N220" s="1" t="s">
        <v>1371</v>
      </c>
      <c r="O220" s="1" t="s">
        <v>1371</v>
      </c>
    </row>
    <row r="221" spans="1:15" x14ac:dyDescent="0.2">
      <c r="A221" s="1" t="s">
        <v>84</v>
      </c>
      <c r="B221" s="1" t="s">
        <v>1020</v>
      </c>
      <c r="C221" s="1" t="s" vm="117">
        <v>1368</v>
      </c>
      <c r="D221" s="1" t="s" vm="117">
        <v>1368</v>
      </c>
      <c r="E221" s="1" t="s" vm="117">
        <v>1368</v>
      </c>
      <c r="F221" s="1" t="s">
        <v>1371</v>
      </c>
      <c r="G221" s="1" t="s">
        <v>1371</v>
      </c>
      <c r="H221" s="1" t="s">
        <v>1371</v>
      </c>
      <c r="I221" s="1" t="s">
        <v>1371</v>
      </c>
      <c r="J221" s="1" t="s">
        <v>1371</v>
      </c>
      <c r="K221" s="1" t="s">
        <v>1371</v>
      </c>
      <c r="L221" s="1" t="s">
        <v>1371</v>
      </c>
      <c r="M221" s="1" t="s">
        <v>1371</v>
      </c>
      <c r="N221" s="1" t="s">
        <v>1371</v>
      </c>
      <c r="O221" s="1" t="s">
        <v>1371</v>
      </c>
    </row>
    <row r="222" spans="1:15" x14ac:dyDescent="0.2">
      <c r="A222" s="1" t="s">
        <v>139</v>
      </c>
      <c r="B222" s="1" t="s">
        <v>140</v>
      </c>
      <c r="C222" s="1" t="s" vm="206">
        <v>1368</v>
      </c>
      <c r="D222" s="1" t="s" vm="206">
        <v>1368</v>
      </c>
      <c r="E222" s="1" t="s" vm="206">
        <v>1368</v>
      </c>
      <c r="F222" s="1" t="s">
        <v>1371</v>
      </c>
      <c r="G222" s="1" t="s">
        <v>1371</v>
      </c>
      <c r="H222" s="1" t="s">
        <v>1371</v>
      </c>
      <c r="I222" s="1" t="s">
        <v>1371</v>
      </c>
      <c r="J222" s="1" t="s">
        <v>1371</v>
      </c>
      <c r="K222" s="1" t="s">
        <v>1371</v>
      </c>
      <c r="L222" s="1" t="s">
        <v>1371</v>
      </c>
      <c r="M222" s="1" t="s">
        <v>1371</v>
      </c>
      <c r="N222" s="1" t="s">
        <v>1371</v>
      </c>
      <c r="O222" s="1" t="s">
        <v>1371</v>
      </c>
    </row>
    <row r="223" spans="1:15" x14ac:dyDescent="0.2">
      <c r="A223" s="1" t="s">
        <v>157</v>
      </c>
      <c r="B223" s="1" t="s">
        <v>158</v>
      </c>
      <c r="C223" s="1" t="s" vm="119">
        <v>1368</v>
      </c>
      <c r="D223" s="1" t="s" vm="119">
        <v>1368</v>
      </c>
      <c r="E223" s="1" t="s" vm="119">
        <v>1368</v>
      </c>
      <c r="F223" s="1" t="s">
        <v>1371</v>
      </c>
      <c r="G223" s="1" t="s">
        <v>1371</v>
      </c>
      <c r="H223" s="1" t="s">
        <v>1371</v>
      </c>
      <c r="I223" s="1" t="s">
        <v>1371</v>
      </c>
      <c r="J223" s="1" t="s">
        <v>1371</v>
      </c>
      <c r="K223" s="1" t="s">
        <v>1371</v>
      </c>
      <c r="L223" s="1" t="s">
        <v>1371</v>
      </c>
      <c r="M223" s="1" t="s">
        <v>1371</v>
      </c>
      <c r="N223" s="1" t="s">
        <v>1371</v>
      </c>
      <c r="O223" s="1" t="s">
        <v>1371</v>
      </c>
    </row>
    <row r="224" spans="1:15" x14ac:dyDescent="0.2">
      <c r="A224" s="1" t="s">
        <v>265</v>
      </c>
      <c r="B224" s="1" t="s">
        <v>264</v>
      </c>
      <c r="C224" s="1" t="s" vm="207">
        <v>1368</v>
      </c>
      <c r="D224" s="1" t="s" vm="207">
        <v>1368</v>
      </c>
      <c r="E224" s="1" t="s" vm="207">
        <v>1368</v>
      </c>
      <c r="F224" s="1" t="s">
        <v>1371</v>
      </c>
      <c r="G224" s="1" t="s">
        <v>1371</v>
      </c>
      <c r="H224" s="1" t="s">
        <v>1371</v>
      </c>
      <c r="I224" s="1" t="s">
        <v>1371</v>
      </c>
      <c r="J224" s="1" t="s">
        <v>1371</v>
      </c>
      <c r="K224" s="1" t="s">
        <v>1371</v>
      </c>
      <c r="L224" s="1" t="s">
        <v>1371</v>
      </c>
      <c r="M224" s="1" t="s">
        <v>1371</v>
      </c>
      <c r="N224" s="1" t="s">
        <v>1371</v>
      </c>
      <c r="O224" s="1" t="s">
        <v>1371</v>
      </c>
    </row>
    <row r="225" spans="1:15" x14ac:dyDescent="0.2">
      <c r="A225" s="1" t="s">
        <v>281</v>
      </c>
      <c r="B225" s="1" t="s">
        <v>282</v>
      </c>
      <c r="C225" s="1" t="s" vm="71">
        <v>1368</v>
      </c>
      <c r="D225" s="1" t="s" vm="71">
        <v>1368</v>
      </c>
      <c r="E225" s="1" t="s" vm="71">
        <v>1368</v>
      </c>
      <c r="F225" s="1" t="s">
        <v>1371</v>
      </c>
      <c r="G225" s="1" t="s">
        <v>1371</v>
      </c>
      <c r="H225" s="1" t="s">
        <v>1371</v>
      </c>
      <c r="I225" s="1" t="s">
        <v>1371</v>
      </c>
      <c r="J225" s="1" t="s">
        <v>1371</v>
      </c>
      <c r="K225" s="1" t="s">
        <v>1371</v>
      </c>
      <c r="L225" s="1" t="s">
        <v>1371</v>
      </c>
      <c r="M225" s="1" t="s">
        <v>1371</v>
      </c>
      <c r="N225" s="1" t="s">
        <v>1371</v>
      </c>
      <c r="O225" s="1" t="s">
        <v>1371</v>
      </c>
    </row>
    <row r="226" spans="1:15" x14ac:dyDescent="0.2">
      <c r="A226" s="1" t="s">
        <v>419</v>
      </c>
      <c r="B226" s="1" t="s">
        <v>420</v>
      </c>
      <c r="C226" s="1" t="s" vm="65">
        <v>1368</v>
      </c>
      <c r="D226" s="1" t="s" vm="65">
        <v>1368</v>
      </c>
      <c r="E226" s="1" t="s" vm="65">
        <v>1368</v>
      </c>
      <c r="F226" s="1" t="s">
        <v>1371</v>
      </c>
      <c r="G226" s="1" t="s">
        <v>1371</v>
      </c>
      <c r="H226" s="1" t="s">
        <v>1371</v>
      </c>
      <c r="I226" s="1" t="s">
        <v>1371</v>
      </c>
      <c r="J226" s="1" t="s">
        <v>1371</v>
      </c>
      <c r="K226" s="1" t="s">
        <v>1371</v>
      </c>
      <c r="L226" s="1" t="s">
        <v>1371</v>
      </c>
      <c r="M226" s="1" t="s">
        <v>1371</v>
      </c>
      <c r="N226" s="1" t="s">
        <v>1371</v>
      </c>
      <c r="O226" s="1" t="s">
        <v>1371</v>
      </c>
    </row>
    <row r="227" spans="1:15" x14ac:dyDescent="0.2">
      <c r="A227" s="1" t="s">
        <v>276</v>
      </c>
      <c r="B227" s="1" t="s">
        <v>277</v>
      </c>
      <c r="C227" s="1" t="s" vm="121">
        <v>1368</v>
      </c>
      <c r="D227" s="1" t="s" vm="121">
        <v>1368</v>
      </c>
      <c r="E227" s="1" t="s" vm="121">
        <v>1368</v>
      </c>
      <c r="F227" s="1" t="s">
        <v>1371</v>
      </c>
      <c r="G227" s="1" t="s">
        <v>1371</v>
      </c>
      <c r="H227" s="1" t="s">
        <v>1371</v>
      </c>
      <c r="I227" s="1" t="s">
        <v>1371</v>
      </c>
      <c r="J227" s="1" t="s">
        <v>1371</v>
      </c>
      <c r="K227" s="1" t="s">
        <v>1371</v>
      </c>
      <c r="L227" s="1" t="s">
        <v>1371</v>
      </c>
      <c r="M227" s="1" t="s">
        <v>1371</v>
      </c>
      <c r="N227" s="1" t="s">
        <v>1371</v>
      </c>
      <c r="O227" s="1" t="s">
        <v>1371</v>
      </c>
    </row>
    <row r="228" spans="1:15" x14ac:dyDescent="0.2">
      <c r="A228" s="1" t="s">
        <v>617</v>
      </c>
      <c r="B228" s="1" t="s">
        <v>1446</v>
      </c>
      <c r="C228" s="1" t="s" vm="210">
        <v>1368</v>
      </c>
      <c r="D228" s="1" t="s" vm="210">
        <v>1368</v>
      </c>
      <c r="E228" s="1" t="s" vm="210">
        <v>1368</v>
      </c>
      <c r="F228" s="1" t="s">
        <v>1371</v>
      </c>
      <c r="G228" s="1" t="s">
        <v>1371</v>
      </c>
      <c r="H228" s="1" t="s">
        <v>1371</v>
      </c>
      <c r="I228" s="1" t="s">
        <v>1371</v>
      </c>
      <c r="J228" s="1" t="s">
        <v>1371</v>
      </c>
      <c r="K228" s="1" t="s">
        <v>1371</v>
      </c>
      <c r="L228" s="1" t="s">
        <v>1371</v>
      </c>
      <c r="M228" s="1" t="s">
        <v>1371</v>
      </c>
      <c r="N228" s="1" t="s">
        <v>1371</v>
      </c>
      <c r="O228" s="1" t="s">
        <v>1371</v>
      </c>
    </row>
    <row r="229" spans="1:15" x14ac:dyDescent="0.2">
      <c r="A229" s="1" t="s">
        <v>607</v>
      </c>
      <c r="B229" s="1" t="s">
        <v>1025</v>
      </c>
      <c r="C229" s="1" t="s" vm="72">
        <v>1368</v>
      </c>
      <c r="D229" s="1" t="s" vm="72">
        <v>1368</v>
      </c>
      <c r="E229" s="1" t="s" vm="72">
        <v>1368</v>
      </c>
      <c r="F229" s="1" t="s">
        <v>1371</v>
      </c>
      <c r="G229" s="1" t="s">
        <v>1371</v>
      </c>
      <c r="H229" s="1" t="s">
        <v>1371</v>
      </c>
      <c r="I229" s="1" t="s">
        <v>1371</v>
      </c>
      <c r="J229" s="1" t="s">
        <v>1371</v>
      </c>
      <c r="K229" s="1" t="s">
        <v>1371</v>
      </c>
      <c r="L229" s="1" t="s">
        <v>1371</v>
      </c>
      <c r="M229" s="1" t="s">
        <v>1371</v>
      </c>
      <c r="N229" s="1" t="s">
        <v>1371</v>
      </c>
      <c r="O229" s="1" t="s">
        <v>1371</v>
      </c>
    </row>
    <row r="230" spans="1:15" x14ac:dyDescent="0.2">
      <c r="A230" s="1" t="s">
        <v>667</v>
      </c>
      <c r="B230" s="1" t="s">
        <v>1013</v>
      </c>
      <c r="C230" s="1" t="s" vm="66">
        <v>1368</v>
      </c>
      <c r="D230" s="1" t="s" vm="66">
        <v>1368</v>
      </c>
      <c r="E230" s="1" t="s" vm="66">
        <v>1368</v>
      </c>
      <c r="F230" s="1" t="s">
        <v>1371</v>
      </c>
      <c r="G230" s="1" t="s">
        <v>1371</v>
      </c>
      <c r="H230" s="1" t="s">
        <v>1371</v>
      </c>
      <c r="I230" s="1" t="s">
        <v>1371</v>
      </c>
      <c r="J230" s="1" t="s">
        <v>1371</v>
      </c>
      <c r="K230" s="1" t="s">
        <v>1371</v>
      </c>
      <c r="L230" s="1" t="s">
        <v>1371</v>
      </c>
      <c r="M230" s="1" t="s">
        <v>1371</v>
      </c>
      <c r="N230" s="1" t="s">
        <v>1371</v>
      </c>
      <c r="O230" s="1" t="s">
        <v>1371</v>
      </c>
    </row>
    <row r="231" spans="1:15" x14ac:dyDescent="0.2">
      <c r="A231" s="1" t="s">
        <v>150</v>
      </c>
      <c r="B231" s="1" t="s">
        <v>1447</v>
      </c>
      <c r="C231" s="1" t="s" vm="67">
        <v>1368</v>
      </c>
      <c r="D231" s="1" t="s" vm="67">
        <v>1368</v>
      </c>
      <c r="E231" s="1" t="s" vm="67">
        <v>1368</v>
      </c>
      <c r="F231" s="1" t="s">
        <v>1371</v>
      </c>
      <c r="G231" s="1" t="s">
        <v>1371</v>
      </c>
      <c r="H231" s="1" t="s">
        <v>1371</v>
      </c>
      <c r="I231" s="1" t="s">
        <v>1371</v>
      </c>
      <c r="J231" s="1" t="s">
        <v>1371</v>
      </c>
      <c r="K231" s="1" t="s">
        <v>1371</v>
      </c>
      <c r="L231" s="1" t="s">
        <v>1371</v>
      </c>
      <c r="M231" s="1" t="s">
        <v>1371</v>
      </c>
      <c r="N231" s="1" t="s">
        <v>1371</v>
      </c>
      <c r="O231" s="1" t="s">
        <v>1371</v>
      </c>
    </row>
    <row r="232" spans="1:15" x14ac:dyDescent="0.2">
      <c r="A232" s="1" t="s">
        <v>343</v>
      </c>
      <c r="B232" s="1" t="s">
        <v>1430</v>
      </c>
      <c r="C232" s="1" t="s" vm="68">
        <v>1368</v>
      </c>
      <c r="D232" s="1" t="s" vm="68">
        <v>1368</v>
      </c>
      <c r="E232" s="1" t="s" vm="68">
        <v>1368</v>
      </c>
      <c r="F232" s="1" t="s">
        <v>1371</v>
      </c>
      <c r="G232" s="1" t="s">
        <v>1371</v>
      </c>
      <c r="H232" s="1" t="s">
        <v>1371</v>
      </c>
      <c r="I232" s="1" t="s">
        <v>1371</v>
      </c>
      <c r="J232" s="1" t="s">
        <v>1371</v>
      </c>
      <c r="K232" s="1" t="s">
        <v>1371</v>
      </c>
      <c r="L232" s="1" t="s">
        <v>1371</v>
      </c>
      <c r="M232" s="1" t="s">
        <v>1371</v>
      </c>
      <c r="N232" s="1" t="s">
        <v>1371</v>
      </c>
      <c r="O232" s="1" t="s">
        <v>1371</v>
      </c>
    </row>
    <row r="233" spans="1:15" x14ac:dyDescent="0.2">
      <c r="A233" s="1" t="s">
        <v>181</v>
      </c>
      <c r="B233" s="1" t="s">
        <v>182</v>
      </c>
      <c r="C233" s="1" t="s" vm="197">
        <v>1368</v>
      </c>
      <c r="D233" s="1" t="s" vm="197">
        <v>1368</v>
      </c>
      <c r="E233" s="1" t="s" vm="197">
        <v>1368</v>
      </c>
      <c r="F233" s="1" t="s">
        <v>1371</v>
      </c>
      <c r="G233" s="1" t="s">
        <v>1371</v>
      </c>
      <c r="H233" s="1" t="s">
        <v>1371</v>
      </c>
      <c r="I233" s="1" t="s">
        <v>1371</v>
      </c>
      <c r="J233" s="1" t="s">
        <v>1371</v>
      </c>
      <c r="K233" s="1" t="s">
        <v>1371</v>
      </c>
      <c r="L233" s="1" t="s">
        <v>1371</v>
      </c>
      <c r="M233" s="1" t="s">
        <v>1371</v>
      </c>
      <c r="N233" s="1" t="s">
        <v>1371</v>
      </c>
      <c r="O233" s="1" t="s">
        <v>1370</v>
      </c>
    </row>
    <row r="234" spans="1:15" x14ac:dyDescent="0.2">
      <c r="A234" s="1" t="s">
        <v>194</v>
      </c>
      <c r="B234" s="1" t="s">
        <v>1421</v>
      </c>
      <c r="C234" s="1" t="s" vm="54">
        <v>1368</v>
      </c>
      <c r="D234" s="1" t="s" vm="54">
        <v>1368</v>
      </c>
      <c r="E234" s="1" t="s" vm="54">
        <v>1368</v>
      </c>
      <c r="F234" s="1" t="s">
        <v>1371</v>
      </c>
      <c r="G234" s="1" t="s">
        <v>1371</v>
      </c>
      <c r="H234" s="1" t="s">
        <v>1371</v>
      </c>
      <c r="I234" s="1" t="s">
        <v>1371</v>
      </c>
      <c r="J234" s="1" t="s">
        <v>1371</v>
      </c>
      <c r="K234" s="1" t="s">
        <v>1371</v>
      </c>
      <c r="L234" s="1" t="s">
        <v>1371</v>
      </c>
      <c r="M234" s="1" t="s">
        <v>1371</v>
      </c>
      <c r="N234" s="1" t="s">
        <v>1371</v>
      </c>
      <c r="O234" s="1" t="s">
        <v>1370</v>
      </c>
    </row>
    <row r="235" spans="1:15" x14ac:dyDescent="0.2">
      <c r="A235" s="1" t="s">
        <v>153</v>
      </c>
      <c r="B235" s="1" t="s">
        <v>1420</v>
      </c>
      <c r="C235" s="1" t="s" vm="209">
        <v>1368</v>
      </c>
      <c r="D235" s="1" t="s" vm="209">
        <v>1368</v>
      </c>
      <c r="E235" s="1" t="s" vm="209">
        <v>1368</v>
      </c>
      <c r="F235" s="1" t="s">
        <v>1371</v>
      </c>
      <c r="G235" s="1" t="s">
        <v>1371</v>
      </c>
      <c r="H235" s="1" t="s">
        <v>1371</v>
      </c>
      <c r="I235" s="1" t="s">
        <v>1371</v>
      </c>
      <c r="J235" s="1" t="s">
        <v>1371</v>
      </c>
      <c r="K235" s="1" t="s">
        <v>1371</v>
      </c>
      <c r="L235" s="1" t="s">
        <v>1371</v>
      </c>
      <c r="M235" s="1" t="s">
        <v>1371</v>
      </c>
      <c r="N235" s="1" t="s">
        <v>1371</v>
      </c>
      <c r="O235" s="1" t="s">
        <v>1370</v>
      </c>
    </row>
    <row r="236" spans="1:15" x14ac:dyDescent="0.2">
      <c r="A236" s="1" t="s">
        <v>346</v>
      </c>
      <c r="B236" s="1" t="s">
        <v>347</v>
      </c>
      <c r="C236" s="1" t="s">
        <v>1369</v>
      </c>
      <c r="D236" s="1" t="s" vm="75">
        <v>1368</v>
      </c>
      <c r="E236" s="1" t="s" vm="75">
        <v>1368</v>
      </c>
      <c r="F236" s="1" t="s">
        <v>1371</v>
      </c>
      <c r="G236" s="1" t="s">
        <v>1371</v>
      </c>
      <c r="H236" s="1" t="s">
        <v>1371</v>
      </c>
      <c r="I236" s="1" t="s">
        <v>1371</v>
      </c>
      <c r="J236" s="1" t="s">
        <v>1371</v>
      </c>
      <c r="K236" s="1" t="s">
        <v>1371</v>
      </c>
      <c r="L236" s="1" t="s">
        <v>1371</v>
      </c>
      <c r="M236" s="1" t="s">
        <v>1371</v>
      </c>
      <c r="N236" s="1" t="s">
        <v>1371</v>
      </c>
      <c r="O236" s="1" t="s">
        <v>1370</v>
      </c>
    </row>
    <row r="237" spans="1:15" x14ac:dyDescent="0.2">
      <c r="A237" s="1" t="s">
        <v>561</v>
      </c>
      <c r="B237" s="1" t="s">
        <v>1140</v>
      </c>
      <c r="C237" s="1" t="s" vm="131">
        <v>1368</v>
      </c>
      <c r="D237" s="1" t="s" vm="131">
        <v>1368</v>
      </c>
      <c r="E237" s="1" t="s" vm="131">
        <v>1368</v>
      </c>
      <c r="F237" s="1" t="s">
        <v>1371</v>
      </c>
      <c r="G237" s="1" t="s">
        <v>1371</v>
      </c>
      <c r="H237" s="1" t="s">
        <v>1371</v>
      </c>
      <c r="I237" s="1" t="s">
        <v>1371</v>
      </c>
      <c r="J237" s="1" t="s">
        <v>1371</v>
      </c>
      <c r="K237" s="1" t="s">
        <v>1371</v>
      </c>
      <c r="L237" s="1" t="s">
        <v>1371</v>
      </c>
      <c r="M237" s="1" t="s">
        <v>1371</v>
      </c>
      <c r="N237" s="1" t="s">
        <v>1371</v>
      </c>
      <c r="O237" s="1" t="s">
        <v>1370</v>
      </c>
    </row>
    <row r="238" spans="1:15" x14ac:dyDescent="0.2">
      <c r="A238" s="1" t="s">
        <v>396</v>
      </c>
      <c r="B238" s="1" t="s">
        <v>1431</v>
      </c>
      <c r="C238" s="1" t="s" vm="211">
        <v>1368</v>
      </c>
      <c r="D238" s="1" t="s" vm="211">
        <v>1368</v>
      </c>
      <c r="E238" s="1" t="s" vm="211">
        <v>1368</v>
      </c>
      <c r="F238" s="1" t="s">
        <v>1371</v>
      </c>
      <c r="G238" s="1" t="s">
        <v>1371</v>
      </c>
      <c r="H238" s="1" t="s">
        <v>1371</v>
      </c>
      <c r="I238" s="1" t="s">
        <v>1371</v>
      </c>
      <c r="J238" s="1" t="s">
        <v>1371</v>
      </c>
      <c r="K238" s="1" t="s">
        <v>1371</v>
      </c>
      <c r="L238" s="1" t="s">
        <v>1371</v>
      </c>
      <c r="M238" s="1" t="s">
        <v>1371</v>
      </c>
      <c r="N238" s="1" t="s">
        <v>1371</v>
      </c>
      <c r="O238" s="1" t="s">
        <v>1370</v>
      </c>
    </row>
    <row r="239" spans="1:15" x14ac:dyDescent="0.2">
      <c r="A239" s="1" t="s">
        <v>334</v>
      </c>
      <c r="B239" s="1" t="s">
        <v>335</v>
      </c>
      <c r="C239" s="1" t="s" vm="2">
        <v>1368</v>
      </c>
      <c r="D239" s="1" t="s" vm="2">
        <v>1368</v>
      </c>
      <c r="E239" s="1" t="s" vm="2">
        <v>1368</v>
      </c>
      <c r="F239" s="1" t="s">
        <v>1371</v>
      </c>
      <c r="G239" s="1" t="s">
        <v>1371</v>
      </c>
      <c r="H239" s="1" t="s">
        <v>1371</v>
      </c>
      <c r="I239" s="1" t="s">
        <v>1371</v>
      </c>
      <c r="J239" s="1" t="s">
        <v>1371</v>
      </c>
      <c r="K239" s="1" t="s">
        <v>1371</v>
      </c>
      <c r="L239" s="1" t="s">
        <v>1371</v>
      </c>
      <c r="M239" s="1" t="s">
        <v>1371</v>
      </c>
      <c r="N239" s="1" t="s">
        <v>1370</v>
      </c>
      <c r="O239" s="1" t="s">
        <v>1370</v>
      </c>
    </row>
    <row r="240" spans="1:15" x14ac:dyDescent="0.2">
      <c r="A240" s="1" t="s">
        <v>189</v>
      </c>
      <c r="B240" s="1" t="s">
        <v>922</v>
      </c>
      <c r="C240" s="1" t="s">
        <v>1369</v>
      </c>
      <c r="D240" s="1" t="s" vm="7">
        <v>1368</v>
      </c>
      <c r="E240" s="1" t="s" vm="7">
        <v>1368</v>
      </c>
      <c r="F240" s="1" t="s">
        <v>1371</v>
      </c>
      <c r="G240" s="1" t="s">
        <v>1371</v>
      </c>
      <c r="H240" s="1" t="s">
        <v>1371</v>
      </c>
      <c r="I240" s="1" t="s">
        <v>1371</v>
      </c>
      <c r="J240" s="1" t="s">
        <v>1371</v>
      </c>
      <c r="K240" s="1" t="s">
        <v>1371</v>
      </c>
      <c r="L240" s="1" t="s">
        <v>1371</v>
      </c>
      <c r="M240" s="1" t="s">
        <v>1371</v>
      </c>
      <c r="N240" s="1" t="s">
        <v>1370</v>
      </c>
      <c r="O240" s="1" t="s">
        <v>1370</v>
      </c>
    </row>
    <row r="241" spans="1:15" x14ac:dyDescent="0.2">
      <c r="A241" s="1" t="s">
        <v>582</v>
      </c>
      <c r="B241" s="1" t="s">
        <v>1109</v>
      </c>
      <c r="C241" s="1" t="s" vm="191">
        <v>1368</v>
      </c>
      <c r="D241" s="1" t="s" vm="191">
        <v>1368</v>
      </c>
      <c r="E241" s="1" t="s" vm="191">
        <v>1368</v>
      </c>
      <c r="F241" s="1" t="s">
        <v>1371</v>
      </c>
      <c r="G241" s="1" t="s">
        <v>1371</v>
      </c>
      <c r="H241" s="1" t="s">
        <v>1371</v>
      </c>
      <c r="I241" s="1" t="s">
        <v>1371</v>
      </c>
      <c r="J241" s="1" t="s">
        <v>1371</v>
      </c>
      <c r="K241" s="1" t="s">
        <v>1371</v>
      </c>
      <c r="L241" s="1" t="s">
        <v>1371</v>
      </c>
      <c r="M241" s="1" t="s">
        <v>1371</v>
      </c>
      <c r="N241" s="1" t="s">
        <v>1370</v>
      </c>
      <c r="O241" s="1" t="s">
        <v>1370</v>
      </c>
    </row>
    <row r="242" spans="1:15" x14ac:dyDescent="0.2">
      <c r="A242" s="1" t="s">
        <v>76</v>
      </c>
      <c r="B242" s="1" t="s">
        <v>993</v>
      </c>
      <c r="C242" s="1" t="s" vm="19">
        <v>1368</v>
      </c>
      <c r="D242" s="1" t="s" vm="19">
        <v>1368</v>
      </c>
      <c r="E242" s="1" t="s" vm="19">
        <v>1368</v>
      </c>
      <c r="F242" s="1" t="s">
        <v>1371</v>
      </c>
      <c r="G242" s="1" t="s">
        <v>1371</v>
      </c>
      <c r="H242" s="1" t="s">
        <v>1371</v>
      </c>
      <c r="I242" s="1" t="s">
        <v>1371</v>
      </c>
      <c r="J242" s="1" t="s">
        <v>1371</v>
      </c>
      <c r="K242" s="1" t="s">
        <v>1371</v>
      </c>
      <c r="L242" s="1" t="s">
        <v>1371</v>
      </c>
      <c r="M242" s="1" t="s">
        <v>1371</v>
      </c>
      <c r="N242" s="1" t="s">
        <v>1370</v>
      </c>
      <c r="O242" s="1" t="s">
        <v>1370</v>
      </c>
    </row>
    <row r="243" spans="1:15" x14ac:dyDescent="0.2">
      <c r="A243" s="1" t="s">
        <v>416</v>
      </c>
      <c r="B243" s="1" t="s">
        <v>1425</v>
      </c>
      <c r="C243" s="1" t="s" vm="95">
        <v>1368</v>
      </c>
      <c r="D243" s="1" t="s" vm="95">
        <v>1368</v>
      </c>
      <c r="E243" s="1" t="s" vm="95">
        <v>1368</v>
      </c>
      <c r="F243" s="1" t="s">
        <v>1371</v>
      </c>
      <c r="G243" s="1" t="s">
        <v>1371</v>
      </c>
      <c r="H243" s="1" t="s">
        <v>1371</v>
      </c>
      <c r="I243" s="1" t="s">
        <v>1371</v>
      </c>
      <c r="J243" s="1" t="s">
        <v>1371</v>
      </c>
      <c r="K243" s="1" t="s">
        <v>1371</v>
      </c>
      <c r="L243" s="1" t="s">
        <v>1371</v>
      </c>
      <c r="M243" s="1" t="s">
        <v>1371</v>
      </c>
      <c r="N243" s="1" t="s">
        <v>1370</v>
      </c>
      <c r="O243" s="1" t="s">
        <v>1370</v>
      </c>
    </row>
    <row r="244" spans="1:15" x14ac:dyDescent="0.2">
      <c r="A244" s="1" t="s">
        <v>462</v>
      </c>
      <c r="B244" s="1" t="s">
        <v>943</v>
      </c>
      <c r="C244" s="1" t="s" vm="194">
        <v>1368</v>
      </c>
      <c r="D244" s="1" t="s" vm="194">
        <v>1368</v>
      </c>
      <c r="E244" s="1" t="s" vm="194">
        <v>1368</v>
      </c>
      <c r="F244" s="1" t="s">
        <v>1371</v>
      </c>
      <c r="G244" s="1" t="s">
        <v>1371</v>
      </c>
      <c r="H244" s="1" t="s">
        <v>1371</v>
      </c>
      <c r="I244" s="1" t="s">
        <v>1371</v>
      </c>
      <c r="J244" s="1" t="s">
        <v>1371</v>
      </c>
      <c r="K244" s="1" t="s">
        <v>1371</v>
      </c>
      <c r="L244" s="1" t="s">
        <v>1371</v>
      </c>
      <c r="M244" s="1" t="s">
        <v>1371</v>
      </c>
      <c r="N244" s="1" t="s">
        <v>1370</v>
      </c>
      <c r="O244" s="1" t="s">
        <v>1370</v>
      </c>
    </row>
    <row r="245" spans="1:15" x14ac:dyDescent="0.2">
      <c r="A245" s="1" t="s">
        <v>118</v>
      </c>
      <c r="B245" s="1" t="s">
        <v>861</v>
      </c>
      <c r="C245" s="1" t="s" vm="200">
        <v>1368</v>
      </c>
      <c r="D245" s="1" t="s" vm="200">
        <v>1368</v>
      </c>
      <c r="E245" s="1" t="s" vm="200">
        <v>1368</v>
      </c>
      <c r="F245" s="1" t="s">
        <v>1371</v>
      </c>
      <c r="G245" s="1" t="s">
        <v>1371</v>
      </c>
      <c r="H245" s="1" t="s">
        <v>1371</v>
      </c>
      <c r="I245" s="1" t="s">
        <v>1371</v>
      </c>
      <c r="J245" s="1" t="s">
        <v>1371</v>
      </c>
      <c r="K245" s="1" t="s">
        <v>1371</v>
      </c>
      <c r="L245" s="1" t="s">
        <v>1371</v>
      </c>
      <c r="M245" s="1" t="s">
        <v>1371</v>
      </c>
      <c r="N245" s="1" t="s">
        <v>1370</v>
      </c>
      <c r="O245" s="1" t="s">
        <v>1370</v>
      </c>
    </row>
    <row r="246" spans="1:15" x14ac:dyDescent="0.2">
      <c r="A246" s="1" t="s">
        <v>378</v>
      </c>
      <c r="B246" s="1" t="s">
        <v>379</v>
      </c>
      <c r="C246" s="1" t="s" vm="77">
        <v>1368</v>
      </c>
      <c r="D246" s="1" t="s" vm="77">
        <v>1368</v>
      </c>
      <c r="E246" s="1" t="s" vm="77">
        <v>1368</v>
      </c>
      <c r="F246" s="1" t="s">
        <v>1371</v>
      </c>
      <c r="G246" s="1" t="s">
        <v>1371</v>
      </c>
      <c r="H246" s="1" t="s">
        <v>1371</v>
      </c>
      <c r="I246" s="1" t="s">
        <v>1371</v>
      </c>
      <c r="J246" s="1" t="s">
        <v>1371</v>
      </c>
      <c r="K246" s="1" t="s">
        <v>1371</v>
      </c>
      <c r="L246" s="1" t="s">
        <v>1370</v>
      </c>
      <c r="M246" s="1" t="s">
        <v>1371</v>
      </c>
      <c r="N246" s="1" t="s">
        <v>1371</v>
      </c>
      <c r="O246" s="1" t="s">
        <v>1370</v>
      </c>
    </row>
    <row r="247" spans="1:15" x14ac:dyDescent="0.2">
      <c r="A247" s="1" t="s">
        <v>177</v>
      </c>
      <c r="B247" s="1" t="s">
        <v>1076</v>
      </c>
      <c r="C247" s="1" t="s" vm="14">
        <v>1369</v>
      </c>
      <c r="D247" s="1" t="s" vm="14">
        <v>1369</v>
      </c>
      <c r="E247" s="1" t="s" vm="14">
        <v>1369</v>
      </c>
      <c r="F247" s="1" t="s">
        <v>1370</v>
      </c>
      <c r="G247" s="1" t="s">
        <v>1371</v>
      </c>
      <c r="H247" s="1" t="s">
        <v>1371</v>
      </c>
      <c r="I247" s="1" t="s">
        <v>1371</v>
      </c>
      <c r="J247" s="1" t="s">
        <v>1371</v>
      </c>
      <c r="K247" s="1" t="s">
        <v>1371</v>
      </c>
      <c r="L247" s="1" t="s">
        <v>1371</v>
      </c>
      <c r="M247" s="1" t="s">
        <v>1371</v>
      </c>
      <c r="N247" s="1" t="s">
        <v>1371</v>
      </c>
      <c r="O247" s="1" t="s">
        <v>1371</v>
      </c>
    </row>
    <row r="248" spans="1:15" x14ac:dyDescent="0.2">
      <c r="A248" s="1" t="s">
        <v>142</v>
      </c>
      <c r="B248" s="1" t="s">
        <v>946</v>
      </c>
      <c r="C248" s="1" t="s" vm="20">
        <v>1369</v>
      </c>
      <c r="D248" s="1" t="s" vm="20">
        <v>1369</v>
      </c>
      <c r="E248" s="1" t="s" vm="20">
        <v>1369</v>
      </c>
      <c r="F248" s="1" t="s">
        <v>1370</v>
      </c>
      <c r="G248" s="1" t="s">
        <v>1370</v>
      </c>
      <c r="H248" s="1" t="s">
        <v>1370</v>
      </c>
      <c r="I248" s="1" t="s">
        <v>1370</v>
      </c>
      <c r="J248" s="1" t="s">
        <v>1370</v>
      </c>
      <c r="K248" s="1" t="s">
        <v>1371</v>
      </c>
      <c r="L248" s="1" t="s">
        <v>1371</v>
      </c>
      <c r="M248" s="1" t="s">
        <v>1371</v>
      </c>
      <c r="N248" s="1" t="s">
        <v>1371</v>
      </c>
      <c r="O248" s="1" t="s">
        <v>1371</v>
      </c>
    </row>
    <row r="249" spans="1:15" x14ac:dyDescent="0.2">
      <c r="A249" s="1" t="s">
        <v>340</v>
      </c>
      <c r="B249" s="1" t="s">
        <v>1043</v>
      </c>
      <c r="C249" s="1" t="s" vm="138">
        <v>813</v>
      </c>
      <c r="D249" s="1" t="s" vm="138">
        <v>813</v>
      </c>
      <c r="E249" s="1" t="s" vm="138">
        <v>813</v>
      </c>
      <c r="F249" s="1" t="s">
        <v>802</v>
      </c>
      <c r="G249" s="1" t="s">
        <v>802</v>
      </c>
      <c r="H249" s="1" t="s">
        <v>1371</v>
      </c>
      <c r="I249" s="1" t="s">
        <v>1371</v>
      </c>
      <c r="J249" s="1" t="s">
        <v>1371</v>
      </c>
      <c r="K249" s="1" t="s">
        <v>1371</v>
      </c>
      <c r="L249" s="1" t="s">
        <v>1371</v>
      </c>
      <c r="M249" s="1" t="s">
        <v>1371</v>
      </c>
      <c r="N249" s="1" t="s">
        <v>1371</v>
      </c>
      <c r="O249" s="1" t="s">
        <v>1371</v>
      </c>
    </row>
    <row r="250" spans="1:15" x14ac:dyDescent="0.2">
      <c r="A250" s="1" t="s">
        <v>391</v>
      </c>
      <c r="B250" s="1" t="s">
        <v>1008</v>
      </c>
      <c r="C250" s="1" t="s" vm="156">
        <v>813</v>
      </c>
      <c r="D250" s="1" t="s" vm="156">
        <v>813</v>
      </c>
      <c r="E250" s="1" t="s" vm="156">
        <v>813</v>
      </c>
      <c r="F250" s="1" t="s">
        <v>802</v>
      </c>
      <c r="G250" s="1" t="s">
        <v>802</v>
      </c>
      <c r="H250" s="1" t="s">
        <v>1371</v>
      </c>
      <c r="I250" s="1" t="s">
        <v>1371</v>
      </c>
      <c r="J250" s="1" t="s">
        <v>1371</v>
      </c>
      <c r="K250" s="1" t="s">
        <v>1371</v>
      </c>
      <c r="L250" s="1" t="s">
        <v>1371</v>
      </c>
      <c r="M250" s="1" t="s">
        <v>1371</v>
      </c>
      <c r="N250" s="1" t="s">
        <v>1371</v>
      </c>
      <c r="O250" s="1" t="s">
        <v>1371</v>
      </c>
    </row>
    <row r="251" spans="1:15" x14ac:dyDescent="0.2">
      <c r="A251" s="1" t="s">
        <v>564</v>
      </c>
      <c r="B251" s="1" t="s">
        <v>812</v>
      </c>
      <c r="C251" s="1" t="s" vm="96">
        <v>813</v>
      </c>
      <c r="D251" s="1" t="s" vm="96">
        <v>813</v>
      </c>
      <c r="E251" s="1" t="s" vm="96">
        <v>813</v>
      </c>
      <c r="F251" s="1" t="s">
        <v>802</v>
      </c>
      <c r="G251" s="1" t="s">
        <v>802</v>
      </c>
      <c r="H251" s="1" t="s">
        <v>1371</v>
      </c>
      <c r="I251" s="1" t="s">
        <v>1371</v>
      </c>
      <c r="J251" s="1" t="s">
        <v>1371</v>
      </c>
      <c r="K251" s="1" t="s">
        <v>1371</v>
      </c>
      <c r="L251" s="1" t="s">
        <v>1371</v>
      </c>
      <c r="M251" s="1" t="s">
        <v>1371</v>
      </c>
      <c r="N251" s="1" t="s">
        <v>1371</v>
      </c>
      <c r="O251" s="1" t="s">
        <v>1371</v>
      </c>
    </row>
    <row r="252" spans="1:15" x14ac:dyDescent="0.2">
      <c r="A252" s="1" t="s">
        <v>125</v>
      </c>
      <c r="B252" s="1" t="s">
        <v>1434</v>
      </c>
      <c r="C252" s="1" t="s" vm="221">
        <v>813</v>
      </c>
      <c r="D252" s="1" t="s" vm="221">
        <v>813</v>
      </c>
      <c r="E252" s="1" t="s" vm="221">
        <v>813</v>
      </c>
      <c r="F252" s="1" t="s">
        <v>802</v>
      </c>
      <c r="G252" s="1" t="s">
        <v>802</v>
      </c>
      <c r="H252" s="1" t="s">
        <v>1371</v>
      </c>
      <c r="I252" s="1" t="s">
        <v>1371</v>
      </c>
      <c r="J252" s="1" t="s">
        <v>1371</v>
      </c>
      <c r="K252" s="1" t="s">
        <v>1371</v>
      </c>
      <c r="L252" s="1" t="s">
        <v>1371</v>
      </c>
      <c r="M252" s="1" t="s">
        <v>1371</v>
      </c>
      <c r="N252" s="1" t="s">
        <v>1370</v>
      </c>
      <c r="O252" s="1" t="s">
        <v>1370</v>
      </c>
    </row>
    <row r="253" spans="1:15" x14ac:dyDescent="0.2">
      <c r="A253" s="49" t="s">
        <v>1559</v>
      </c>
      <c r="B253" s="30" t="s">
        <v>1552</v>
      </c>
      <c r="C253" s="1" t="s">
        <v>1577</v>
      </c>
      <c r="D253" s="49"/>
      <c r="E253" s="49"/>
      <c r="F253" s="50"/>
      <c r="G253" s="50"/>
      <c r="H253" s="50"/>
      <c r="I253" s="50"/>
      <c r="J253" s="50"/>
      <c r="K253" s="50"/>
      <c r="L253" s="50"/>
      <c r="M253" s="50"/>
      <c r="N253" s="50"/>
      <c r="O253" s="50"/>
    </row>
    <row r="254" spans="1:15" x14ac:dyDescent="0.2">
      <c r="A254" s="49" t="s">
        <v>1558</v>
      </c>
      <c r="B254" s="49" t="s">
        <v>437</v>
      </c>
      <c r="C254" s="1" t="s">
        <v>1369</v>
      </c>
      <c r="D254" s="49"/>
      <c r="E254" s="49"/>
      <c r="F254" s="50"/>
      <c r="G254" s="50"/>
      <c r="H254" s="50"/>
      <c r="I254" s="50"/>
      <c r="J254" s="50"/>
      <c r="K254" s="50"/>
      <c r="L254" s="50"/>
      <c r="M254" s="50"/>
      <c r="N254" s="50"/>
      <c r="O254" s="50"/>
    </row>
    <row r="255" spans="1:15" x14ac:dyDescent="0.2">
      <c r="A255" s="46" t="s">
        <v>1578</v>
      </c>
      <c r="B255" s="30" t="s">
        <v>1579</v>
      </c>
      <c r="C255" s="1" t="s" vm="76">
        <v>819</v>
      </c>
      <c r="D255" s="49"/>
      <c r="E255" s="49"/>
      <c r="F255" s="50"/>
      <c r="G255" s="50"/>
      <c r="H255" s="50"/>
      <c r="I255" s="50"/>
      <c r="J255" s="50"/>
      <c r="K255" s="50"/>
      <c r="L255" s="50"/>
      <c r="M255" s="50"/>
      <c r="N255" s="50"/>
      <c r="O255" s="50"/>
    </row>
    <row r="256" spans="1:15" x14ac:dyDescent="0.2">
      <c r="A256" s="46" t="s">
        <v>709</v>
      </c>
      <c r="B256" s="30" t="s">
        <v>1541</v>
      </c>
      <c r="C256" s="1" t="s">
        <v>1369</v>
      </c>
      <c r="D256" s="49"/>
      <c r="E256" s="49"/>
      <c r="F256" s="50"/>
      <c r="G256" s="50"/>
      <c r="H256" s="50"/>
      <c r="I256" s="50"/>
      <c r="J256" s="50"/>
      <c r="K256" s="50"/>
      <c r="L256" s="50"/>
      <c r="M256" s="50"/>
      <c r="N256" s="50"/>
      <c r="O256" s="50"/>
    </row>
    <row r="257" spans="1:15" x14ac:dyDescent="0.2">
      <c r="A257" s="49" t="s">
        <v>1563</v>
      </c>
      <c r="B257" s="49" t="s">
        <v>1562</v>
      </c>
      <c r="C257" s="1" t="s">
        <v>1369</v>
      </c>
      <c r="D257" s="49"/>
      <c r="E257" s="49"/>
      <c r="F257" s="50"/>
      <c r="G257" s="50"/>
      <c r="H257" s="50"/>
      <c r="I257" s="50"/>
      <c r="J257" s="50"/>
      <c r="K257" s="50"/>
      <c r="L257" s="50"/>
      <c r="M257" s="50"/>
      <c r="N257" s="50"/>
      <c r="O257" s="50"/>
    </row>
    <row r="258" spans="1:15" x14ac:dyDescent="0.2">
      <c r="A258" s="49" t="s">
        <v>1572</v>
      </c>
      <c r="B258" s="49" t="s">
        <v>1570</v>
      </c>
      <c r="C258" s="1" t="s">
        <v>806</v>
      </c>
      <c r="D258" s="49"/>
      <c r="E258" s="49"/>
      <c r="F258" s="50"/>
      <c r="G258" s="50"/>
      <c r="H258" s="50"/>
      <c r="I258" s="50"/>
      <c r="J258" s="50"/>
      <c r="K258" s="50"/>
      <c r="L258" s="50"/>
      <c r="M258" s="50"/>
      <c r="N258" s="50"/>
      <c r="O258" s="50"/>
    </row>
    <row r="259" spans="1:15" x14ac:dyDescent="0.2">
      <c r="A259" s="49" t="s">
        <v>1557</v>
      </c>
      <c r="B259" s="49" t="s">
        <v>1549</v>
      </c>
      <c r="C259" s="1" t="s">
        <v>806</v>
      </c>
      <c r="D259" s="49"/>
      <c r="E259" s="49"/>
      <c r="F259" s="50"/>
      <c r="G259" s="50"/>
      <c r="H259" s="50"/>
      <c r="I259" s="50"/>
      <c r="J259" s="50"/>
      <c r="K259" s="50"/>
      <c r="L259" s="50"/>
      <c r="M259" s="50"/>
      <c r="N259" s="50"/>
      <c r="O259" s="50"/>
    </row>
    <row r="260" spans="1:15" x14ac:dyDescent="0.2">
      <c r="A260" s="49" t="s">
        <v>1487</v>
      </c>
      <c r="B260" s="49" t="s">
        <v>1485</v>
      </c>
      <c r="C260" s="1" t="s" vm="94">
        <v>806</v>
      </c>
      <c r="D260" s="49"/>
      <c r="E260" s="49"/>
      <c r="F260" s="50"/>
      <c r="G260" s="50"/>
      <c r="H260" s="50"/>
      <c r="I260" s="50"/>
      <c r="J260" s="50"/>
      <c r="K260" s="50"/>
      <c r="L260" s="50"/>
      <c r="M260" s="50"/>
      <c r="N260" s="50"/>
      <c r="O260" s="50"/>
    </row>
    <row r="261" spans="1:15" x14ac:dyDescent="0.2">
      <c r="A261" s="49" t="s">
        <v>1519</v>
      </c>
      <c r="B261" s="49" t="s">
        <v>1520</v>
      </c>
      <c r="C261" s="1" t="s">
        <v>1369</v>
      </c>
      <c r="D261" s="49"/>
      <c r="E261" s="49"/>
      <c r="F261" s="50"/>
      <c r="G261" s="50"/>
      <c r="H261" s="50"/>
      <c r="I261" s="50"/>
      <c r="J261" s="50"/>
      <c r="K261" s="50"/>
      <c r="L261" s="50"/>
      <c r="M261" s="50"/>
      <c r="N261" s="50"/>
      <c r="O261" s="50"/>
    </row>
    <row r="262" spans="1:15" x14ac:dyDescent="0.2">
      <c r="A262" s="49">
        <v>477</v>
      </c>
      <c r="B262" s="49" t="s">
        <v>1580</v>
      </c>
      <c r="C262" s="1" t="s">
        <v>1369</v>
      </c>
      <c r="D262" s="49"/>
      <c r="E262" s="49"/>
      <c r="F262" s="50"/>
      <c r="G262" s="50"/>
      <c r="H262" s="50"/>
      <c r="I262" s="50"/>
      <c r="J262" s="50"/>
      <c r="K262" s="50"/>
      <c r="L262" s="50"/>
      <c r="M262" s="50"/>
      <c r="N262" s="50"/>
      <c r="O262" s="50"/>
    </row>
    <row r="263" spans="1:15" x14ac:dyDescent="0.2">
      <c r="A263" s="49" t="s">
        <v>1223</v>
      </c>
      <c r="B263" s="49" t="s">
        <v>1397</v>
      </c>
      <c r="C263" s="1" t="s" vm="14">
        <v>1369</v>
      </c>
      <c r="D263" s="49"/>
      <c r="E263" s="49"/>
      <c r="F263" s="50"/>
      <c r="G263" s="50"/>
      <c r="H263" s="50"/>
      <c r="I263" s="50"/>
      <c r="J263" s="50"/>
      <c r="K263" s="50"/>
      <c r="L263" s="50"/>
      <c r="M263" s="50"/>
      <c r="N263" s="50"/>
      <c r="O263" s="50"/>
    </row>
    <row r="264" spans="1:15" x14ac:dyDescent="0.2">
      <c r="A264" s="49">
        <v>484</v>
      </c>
      <c r="B264" s="49" t="s">
        <v>1590</v>
      </c>
      <c r="C264" s="1" t="s" vm="14">
        <v>1369</v>
      </c>
      <c r="D264" s="49"/>
      <c r="E264" s="49"/>
      <c r="F264" s="50"/>
      <c r="G264" s="50"/>
      <c r="H264" s="50"/>
      <c r="I264" s="50"/>
      <c r="J264" s="50"/>
      <c r="K264" s="50"/>
      <c r="L264" s="50"/>
      <c r="M264" s="50"/>
      <c r="N264" s="50"/>
      <c r="O264" s="50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92383-6668-465C-A3E6-69AC47620F37}">
  <dimension ref="A1:J252"/>
  <sheetViews>
    <sheetView workbookViewId="0">
      <selection activeCell="J2" sqref="J2"/>
    </sheetView>
  </sheetViews>
  <sheetFormatPr defaultRowHeight="12.75" x14ac:dyDescent="0.2"/>
  <cols>
    <col min="2" max="2" width="23.7109375" customWidth="1"/>
    <col min="3" max="3" width="12.28515625" bestFit="1" customWidth="1"/>
    <col min="5" max="5" width="10.7109375" customWidth="1"/>
    <col min="6" max="6" width="10.42578125" customWidth="1"/>
    <col min="7" max="7" width="10.7109375" customWidth="1"/>
    <col min="8" max="8" width="10.42578125" customWidth="1"/>
    <col min="9" max="9" width="13.42578125" bestFit="1" customWidth="1"/>
    <col min="10" max="10" width="10.42578125" customWidth="1"/>
    <col min="11" max="12" width="11" bestFit="1" customWidth="1"/>
  </cols>
  <sheetData>
    <row r="1" spans="1:10" ht="25.7" customHeight="1" x14ac:dyDescent="0.2">
      <c r="A1" s="7" t="s">
        <v>768</v>
      </c>
      <c r="B1" s="7" t="s">
        <v>767</v>
      </c>
      <c r="C1" s="7" t="s">
        <v>1480</v>
      </c>
      <c r="D1" s="7" t="s">
        <v>1481</v>
      </c>
      <c r="E1" s="7" t="s">
        <v>1478</v>
      </c>
      <c r="F1" s="7" t="s">
        <v>1479</v>
      </c>
      <c r="G1" s="7" t="s">
        <v>1468</v>
      </c>
      <c r="H1" s="7" t="s">
        <v>1469</v>
      </c>
      <c r="I1" s="7" t="s">
        <v>1482</v>
      </c>
      <c r="J1" s="7" t="s">
        <v>1483</v>
      </c>
    </row>
    <row r="2" spans="1:10" x14ac:dyDescent="0.2">
      <c r="A2" s="8" t="s">
        <v>337</v>
      </c>
      <c r="B2" s="8" t="s">
        <v>1002</v>
      </c>
      <c r="C2" s="9">
        <v>85738034.285714298</v>
      </c>
      <c r="D2" s="10">
        <v>7.2499999999999995E-2</v>
      </c>
      <c r="E2" s="9">
        <v>99611094.054054052</v>
      </c>
      <c r="F2" s="10">
        <v>6.25E-2</v>
      </c>
      <c r="G2" s="9">
        <v>95131844.475524485</v>
      </c>
      <c r="H2" s="10">
        <v>5.2499999999999998E-2</v>
      </c>
      <c r="I2" s="9">
        <v>204681225.04123083</v>
      </c>
      <c r="J2" s="10">
        <v>4.4999999999999998E-2</v>
      </c>
    </row>
    <row r="3" spans="1:10" x14ac:dyDescent="0.2">
      <c r="A3" t="s">
        <v>144</v>
      </c>
      <c r="B3" t="s">
        <v>994</v>
      </c>
      <c r="C3" s="11">
        <v>69363767.619047627</v>
      </c>
      <c r="D3" s="12">
        <v>7.2499999999999995E-2</v>
      </c>
      <c r="E3" s="11">
        <v>82230944.864864871</v>
      </c>
      <c r="F3" s="12">
        <v>6.25E-2</v>
      </c>
      <c r="G3" s="11">
        <v>74784084.324324325</v>
      </c>
      <c r="H3" s="12">
        <v>5.2499999999999998E-2</v>
      </c>
      <c r="I3" s="11">
        <v>181272724.86581141</v>
      </c>
      <c r="J3" s="12">
        <v>4.5999999999999999E-2</v>
      </c>
    </row>
    <row r="4" spans="1:10" x14ac:dyDescent="0.2">
      <c r="A4" t="s">
        <v>85</v>
      </c>
      <c r="B4" t="s">
        <v>1427</v>
      </c>
      <c r="C4" s="11">
        <v>68850183.291139245</v>
      </c>
      <c r="D4" s="12">
        <v>6.7500000000000004E-2</v>
      </c>
      <c r="E4" s="11">
        <v>68751066.853146851</v>
      </c>
      <c r="F4" s="12">
        <v>0.06</v>
      </c>
      <c r="G4" s="11">
        <v>88385306.086956531</v>
      </c>
      <c r="H4" s="12">
        <v>0.05</v>
      </c>
      <c r="I4" s="11">
        <v>205354990.48770425</v>
      </c>
      <c r="J4" s="12">
        <v>4.2500000000000003E-2</v>
      </c>
    </row>
    <row r="5" spans="1:10" x14ac:dyDescent="0.2">
      <c r="A5" t="s">
        <v>194</v>
      </c>
      <c r="B5" t="s">
        <v>1421</v>
      </c>
      <c r="C5" s="11">
        <v>67966353.41772151</v>
      </c>
      <c r="D5" s="12">
        <v>6.7500000000000004E-2</v>
      </c>
      <c r="E5" s="11">
        <v>65198485.797101445</v>
      </c>
      <c r="F5" s="12">
        <v>5.7500000000000002E-2</v>
      </c>
      <c r="G5" s="11">
        <v>84690462.657342672</v>
      </c>
      <c r="H5" s="12">
        <v>5.2499999999999998E-2</v>
      </c>
      <c r="I5" s="11">
        <v>192344172.874502</v>
      </c>
      <c r="J5" s="12">
        <v>4.5999999999999999E-2</v>
      </c>
    </row>
    <row r="6" spans="1:10" x14ac:dyDescent="0.2">
      <c r="A6" t="s">
        <v>142</v>
      </c>
      <c r="B6" t="s">
        <v>946</v>
      </c>
      <c r="C6" s="11">
        <v>57632836.190476201</v>
      </c>
      <c r="D6" s="12">
        <v>7.2499999999999995E-2</v>
      </c>
      <c r="E6" s="11">
        <v>65104903.783783786</v>
      </c>
      <c r="F6" s="12">
        <v>6.25E-2</v>
      </c>
      <c r="G6" s="11">
        <v>61280411.428571448</v>
      </c>
      <c r="H6" s="12">
        <v>5.2499999999999998E-2</v>
      </c>
      <c r="I6" s="11">
        <v>157469446.30113268</v>
      </c>
      <c r="J6" s="12">
        <v>4.7500000000000001E-2</v>
      </c>
    </row>
    <row r="7" spans="1:10" x14ac:dyDescent="0.2">
      <c r="A7" t="s">
        <v>76</v>
      </c>
      <c r="B7" t="s">
        <v>993</v>
      </c>
      <c r="C7" s="11">
        <v>52011487.619047627</v>
      </c>
      <c r="D7" s="12">
        <v>7.2499999999999995E-2</v>
      </c>
      <c r="E7" s="11">
        <v>60088389.019607842</v>
      </c>
      <c r="F7" s="12">
        <v>6.5000000000000002E-2</v>
      </c>
      <c r="G7" s="11">
        <v>57014450.810810819</v>
      </c>
      <c r="H7" s="12">
        <v>5.7500000000000002E-2</v>
      </c>
      <c r="I7" s="11">
        <v>132825159.2370432</v>
      </c>
      <c r="J7" s="12">
        <v>4.65E-2</v>
      </c>
    </row>
    <row r="8" spans="1:10" x14ac:dyDescent="0.2">
      <c r="A8" t="s">
        <v>349</v>
      </c>
      <c r="B8" t="s">
        <v>1034</v>
      </c>
      <c r="C8" s="11">
        <v>45933145.52147238</v>
      </c>
      <c r="D8" s="12">
        <v>7.0000000000000007E-2</v>
      </c>
      <c r="E8" s="11">
        <v>54417206.48648648</v>
      </c>
      <c r="F8" s="12">
        <v>6.25E-2</v>
      </c>
      <c r="G8" s="11">
        <v>65583111.304347813</v>
      </c>
      <c r="H8" s="12">
        <v>4.7500000000000001E-2</v>
      </c>
      <c r="I8" s="11">
        <v>149639700.493954</v>
      </c>
      <c r="J8" s="12">
        <v>4.2000000000000003E-2</v>
      </c>
    </row>
    <row r="9" spans="1:10" x14ac:dyDescent="0.2">
      <c r="A9" t="s">
        <v>401</v>
      </c>
      <c r="B9" t="s">
        <v>1443</v>
      </c>
      <c r="C9" s="11">
        <v>45822427.18954248</v>
      </c>
      <c r="D9" s="12">
        <v>6.5000000000000002E-2</v>
      </c>
      <c r="E9" s="11">
        <v>46039937.342657335</v>
      </c>
      <c r="F9" s="12">
        <v>0.06</v>
      </c>
      <c r="G9" s="11">
        <v>43629354.666666664</v>
      </c>
      <c r="H9" s="12">
        <v>4.7500000000000001E-2</v>
      </c>
      <c r="I9" s="11">
        <v>97761626.010236472</v>
      </c>
      <c r="J9" s="12">
        <v>4.1500000000000002E-2</v>
      </c>
    </row>
    <row r="10" spans="1:10" x14ac:dyDescent="0.2">
      <c r="A10" t="s">
        <v>391</v>
      </c>
      <c r="B10" t="s">
        <v>1008</v>
      </c>
      <c r="C10" s="11">
        <v>44241965.714285724</v>
      </c>
      <c r="D10" s="12">
        <v>7.2499999999999995E-2</v>
      </c>
      <c r="E10" s="11">
        <v>53960291.891891904</v>
      </c>
      <c r="F10" s="12">
        <v>6.25E-2</v>
      </c>
      <c r="G10" s="11">
        <v>53649844.324324325</v>
      </c>
      <c r="H10" s="12">
        <v>5.2499999999999998E-2</v>
      </c>
      <c r="I10" s="11">
        <v>105915944.65267135</v>
      </c>
      <c r="J10" s="12">
        <v>4.7500000000000001E-2</v>
      </c>
    </row>
    <row r="11" spans="1:10" x14ac:dyDescent="0.2">
      <c r="A11" t="s">
        <v>320</v>
      </c>
      <c r="B11" t="s">
        <v>982</v>
      </c>
      <c r="C11" s="11">
        <v>42827085.714285716</v>
      </c>
      <c r="D11" s="12">
        <v>7.2499999999999995E-2</v>
      </c>
      <c r="E11" s="11">
        <v>53594138.870577894</v>
      </c>
      <c r="F11" s="12">
        <v>6.25E-2</v>
      </c>
      <c r="G11" s="11">
        <v>48895770.069930069</v>
      </c>
      <c r="H11" s="12">
        <v>0.05</v>
      </c>
      <c r="I11" s="11">
        <v>120801596.17909728</v>
      </c>
      <c r="J11" s="12">
        <v>4.2999999999999997E-2</v>
      </c>
    </row>
    <row r="12" spans="1:10" x14ac:dyDescent="0.2">
      <c r="A12" t="s">
        <v>383</v>
      </c>
      <c r="B12" t="s">
        <v>384</v>
      </c>
      <c r="C12" s="11">
        <v>41054019.240506329</v>
      </c>
      <c r="D12" s="12">
        <v>6.7500000000000004E-2</v>
      </c>
      <c r="E12" s="11">
        <v>41771387.972027972</v>
      </c>
      <c r="F12" s="12">
        <v>0.06</v>
      </c>
      <c r="G12" s="11">
        <v>51861938.461538471</v>
      </c>
      <c r="H12" s="12">
        <v>5.2499999999999998E-2</v>
      </c>
      <c r="I12" s="11">
        <v>146804184.81461337</v>
      </c>
      <c r="J12" s="12">
        <v>4.3999999999999997E-2</v>
      </c>
    </row>
    <row r="13" spans="1:10" x14ac:dyDescent="0.2">
      <c r="A13" t="s">
        <v>650</v>
      </c>
      <c r="B13" t="s">
        <v>816</v>
      </c>
      <c r="C13" s="11">
        <v>40662071.898734167</v>
      </c>
      <c r="D13" s="12">
        <v>6.7500000000000004E-2</v>
      </c>
      <c r="E13" s="11">
        <v>39406113.684210517</v>
      </c>
      <c r="F13" s="12">
        <v>5.5E-2</v>
      </c>
      <c r="G13" s="11">
        <v>50604688.721804515</v>
      </c>
      <c r="H13" s="12">
        <v>4.7500000000000001E-2</v>
      </c>
      <c r="I13" s="11">
        <v>109759257.2420997</v>
      </c>
      <c r="J13" s="12">
        <v>4.2500000000000003E-2</v>
      </c>
    </row>
    <row r="14" spans="1:10" x14ac:dyDescent="0.2">
      <c r="A14" t="s">
        <v>340</v>
      </c>
      <c r="B14" t="s">
        <v>1043</v>
      </c>
      <c r="C14" s="11">
        <v>39132550.674846619</v>
      </c>
      <c r="D14" s="12">
        <v>7.0000000000000007E-2</v>
      </c>
      <c r="E14" s="11">
        <v>45062765.405405417</v>
      </c>
      <c r="F14" s="12">
        <v>6.25E-2</v>
      </c>
      <c r="G14" s="11">
        <v>53671319.136690654</v>
      </c>
      <c r="H14" s="12">
        <v>0.05</v>
      </c>
      <c r="I14" s="11">
        <v>81459009.833466649</v>
      </c>
      <c r="J14" s="12">
        <v>4.65E-2</v>
      </c>
    </row>
    <row r="15" spans="1:10" x14ac:dyDescent="0.2">
      <c r="A15" t="s">
        <v>462</v>
      </c>
      <c r="B15" t="s">
        <v>943</v>
      </c>
      <c r="C15" s="11">
        <v>36597100.952380955</v>
      </c>
      <c r="D15" s="12">
        <v>7.2499999999999995E-2</v>
      </c>
      <c r="E15" s="11">
        <v>43600138.378378376</v>
      </c>
      <c r="F15" s="12">
        <v>6.25E-2</v>
      </c>
      <c r="G15" s="11">
        <v>56905522.23776225</v>
      </c>
      <c r="H15" s="12">
        <v>0.05</v>
      </c>
      <c r="I15" s="11">
        <v>111181828.02750413</v>
      </c>
      <c r="J15" s="12">
        <v>4.2500000000000003E-2</v>
      </c>
    </row>
    <row r="16" spans="1:10" x14ac:dyDescent="0.2">
      <c r="A16" t="s">
        <v>663</v>
      </c>
      <c r="B16" t="s">
        <v>664</v>
      </c>
      <c r="C16" s="11">
        <v>35357067.712418295</v>
      </c>
      <c r="D16" s="12">
        <v>6.5000000000000002E-2</v>
      </c>
      <c r="E16" s="11">
        <v>37239400.902255632</v>
      </c>
      <c r="F16" s="12">
        <v>5.5E-2</v>
      </c>
      <c r="G16" s="11">
        <v>41835032.463768125</v>
      </c>
      <c r="H16" s="12">
        <v>0.05</v>
      </c>
      <c r="I16" s="11">
        <v>115626052.83882484</v>
      </c>
      <c r="J16" s="12">
        <v>4.3999999999999997E-2</v>
      </c>
    </row>
    <row r="17" spans="1:10" x14ac:dyDescent="0.2">
      <c r="A17" t="s">
        <v>555</v>
      </c>
      <c r="B17" t="s">
        <v>1064</v>
      </c>
      <c r="C17" s="11">
        <v>33315141.104294475</v>
      </c>
      <c r="D17" s="12">
        <v>7.0000000000000007E-2</v>
      </c>
      <c r="E17" s="11">
        <v>39628629.930069931</v>
      </c>
      <c r="F17" s="12">
        <v>0.06</v>
      </c>
      <c r="G17" s="11">
        <v>42816727.567567579</v>
      </c>
      <c r="H17" s="12">
        <v>5.5E-2</v>
      </c>
      <c r="I17" s="11">
        <v>69048291.48241885</v>
      </c>
      <c r="J17" s="12">
        <v>4.9000000000000002E-2</v>
      </c>
    </row>
    <row r="18" spans="1:10" x14ac:dyDescent="0.2">
      <c r="A18" t="s">
        <v>136</v>
      </c>
      <c r="B18" t="s">
        <v>137</v>
      </c>
      <c r="C18" s="11">
        <v>32470176.209150322</v>
      </c>
      <c r="D18" s="12">
        <v>6.5000000000000002E-2</v>
      </c>
      <c r="E18" s="11">
        <v>31957514.586466167</v>
      </c>
      <c r="F18" s="12">
        <v>5.5E-2</v>
      </c>
      <c r="G18" s="11">
        <v>37104696.503496505</v>
      </c>
      <c r="H18" s="12">
        <v>5.2499999999999998E-2</v>
      </c>
      <c r="I18" s="11">
        <v>100599126.2315343</v>
      </c>
      <c r="J18" s="12">
        <v>4.3999999999999997E-2</v>
      </c>
    </row>
    <row r="19" spans="1:10" x14ac:dyDescent="0.2">
      <c r="A19" t="s">
        <v>295</v>
      </c>
      <c r="B19" t="s">
        <v>296</v>
      </c>
      <c r="C19" s="11">
        <v>32174329.325153366</v>
      </c>
      <c r="D19" s="12">
        <v>7.0000000000000007E-2</v>
      </c>
      <c r="E19" s="11">
        <v>41461384.347826086</v>
      </c>
      <c r="F19" s="12">
        <v>5.7500000000000002E-2</v>
      </c>
      <c r="G19" s="11">
        <v>42842257.391304351</v>
      </c>
      <c r="H19" s="12">
        <v>5.2499999999999998E-2</v>
      </c>
      <c r="I19" s="11">
        <v>124274936.19313881</v>
      </c>
      <c r="J19" s="12">
        <v>4.2999999999999997E-2</v>
      </c>
    </row>
    <row r="20" spans="1:10" x14ac:dyDescent="0.2">
      <c r="A20" t="s">
        <v>322</v>
      </c>
      <c r="B20" t="s">
        <v>1284</v>
      </c>
      <c r="C20" s="11">
        <v>32005489.523809522</v>
      </c>
      <c r="D20" s="12">
        <v>7.2499999999999995E-2</v>
      </c>
      <c r="E20" s="11">
        <v>34561321.081081085</v>
      </c>
      <c r="F20" s="12">
        <v>6.25E-2</v>
      </c>
      <c r="G20" s="11">
        <v>37937451.428571433</v>
      </c>
      <c r="H20" s="12">
        <v>5.2499999999999998E-2</v>
      </c>
      <c r="I20" s="11">
        <v>90326975.296886474</v>
      </c>
      <c r="J20" s="12">
        <v>4.3999999999999997E-2</v>
      </c>
    </row>
    <row r="21" spans="1:10" x14ac:dyDescent="0.2">
      <c r="A21" t="s">
        <v>286</v>
      </c>
      <c r="B21" t="s">
        <v>287</v>
      </c>
      <c r="C21" s="11">
        <v>29452083.037974685</v>
      </c>
      <c r="D21" s="12">
        <v>6.7500000000000004E-2</v>
      </c>
      <c r="E21" s="11">
        <v>29207080.279720277</v>
      </c>
      <c r="F21" s="12">
        <v>0.06</v>
      </c>
      <c r="G21" s="11">
        <v>32643413.146853153</v>
      </c>
      <c r="H21" s="12">
        <v>5.2499999999999998E-2</v>
      </c>
      <c r="I21" s="11">
        <v>86022912.546881065</v>
      </c>
      <c r="J21" s="12">
        <v>4.3999999999999997E-2</v>
      </c>
    </row>
    <row r="22" spans="1:10" x14ac:dyDescent="0.2">
      <c r="A22" t="s">
        <v>41</v>
      </c>
      <c r="B22" t="s">
        <v>42</v>
      </c>
      <c r="C22" s="11">
        <v>28699649.57055214</v>
      </c>
      <c r="D22" s="12">
        <v>7.0000000000000007E-2</v>
      </c>
      <c r="E22" s="11">
        <v>33978918.918918923</v>
      </c>
      <c r="F22" s="12">
        <v>6.25E-2</v>
      </c>
      <c r="G22" s="11">
        <v>35476947.730061352</v>
      </c>
      <c r="H22" s="12">
        <v>0.06</v>
      </c>
      <c r="I22" s="11">
        <v>65190112.54428608</v>
      </c>
      <c r="J22" s="12">
        <v>0.05</v>
      </c>
    </row>
    <row r="23" spans="1:10" x14ac:dyDescent="0.2">
      <c r="A23" t="s">
        <v>358</v>
      </c>
      <c r="B23" t="s">
        <v>359</v>
      </c>
      <c r="C23" s="11">
        <v>28470182.857142862</v>
      </c>
      <c r="D23" s="12">
        <v>7.2499999999999995E-2</v>
      </c>
      <c r="E23" s="11">
        <v>31743272.156862747</v>
      </c>
      <c r="F23" s="12">
        <v>6.5000000000000002E-2</v>
      </c>
      <c r="G23" s="11">
        <v>32453024.895104904</v>
      </c>
      <c r="H23" s="12">
        <v>5.2499999999999998E-2</v>
      </c>
      <c r="I23" s="11">
        <v>77883986.583971813</v>
      </c>
      <c r="J23" s="12">
        <v>4.4999999999999998E-2</v>
      </c>
    </row>
    <row r="24" spans="1:10" x14ac:dyDescent="0.2">
      <c r="A24" t="s">
        <v>402</v>
      </c>
      <c r="B24" t="s">
        <v>403</v>
      </c>
      <c r="C24" s="11">
        <v>25775606.871165648</v>
      </c>
      <c r="D24" s="12">
        <v>7.0000000000000007E-2</v>
      </c>
      <c r="E24" s="11">
        <v>33132538.378378376</v>
      </c>
      <c r="F24" s="12">
        <v>6.25E-2</v>
      </c>
      <c r="G24" s="11">
        <v>49928057.816703156</v>
      </c>
      <c r="H24" s="12">
        <v>0.05</v>
      </c>
      <c r="I24" s="11">
        <v>111039610.93532419</v>
      </c>
      <c r="J24" s="12">
        <v>4.1500000000000002E-2</v>
      </c>
    </row>
    <row r="25" spans="1:10" x14ac:dyDescent="0.2">
      <c r="A25" t="s">
        <v>549</v>
      </c>
      <c r="B25" t="s">
        <v>550</v>
      </c>
      <c r="C25" s="11">
        <v>25174446.582278475</v>
      </c>
      <c r="D25" s="12">
        <v>6.7500000000000004E-2</v>
      </c>
      <c r="E25" s="11">
        <v>26676484.812030077</v>
      </c>
      <c r="F25" s="12">
        <v>5.5E-2</v>
      </c>
      <c r="G25" s="11">
        <v>27516324.965517249</v>
      </c>
      <c r="H25" s="12">
        <v>5.3499999999999999E-2</v>
      </c>
      <c r="I25" s="11">
        <v>75038029.191449791</v>
      </c>
      <c r="J25" s="12">
        <v>4.3999999999999997E-2</v>
      </c>
    </row>
    <row r="26" spans="1:10" x14ac:dyDescent="0.2">
      <c r="A26" t="s">
        <v>284</v>
      </c>
      <c r="B26" t="s">
        <v>285</v>
      </c>
      <c r="C26" s="11">
        <v>25107386.966292135</v>
      </c>
      <c r="D26" s="12">
        <v>7.7499999999999999E-2</v>
      </c>
      <c r="E26" s="11">
        <v>33592906.666666664</v>
      </c>
      <c r="F26" s="12">
        <v>5.7500000000000002E-2</v>
      </c>
      <c r="G26" s="11">
        <v>40938788.81118881</v>
      </c>
      <c r="H26" s="12">
        <v>5.2499999999999998E-2</v>
      </c>
      <c r="I26" s="11">
        <v>140084451.78639856</v>
      </c>
      <c r="J26" s="12">
        <v>4.4999999999999998E-2</v>
      </c>
    </row>
    <row r="27" spans="1:10" x14ac:dyDescent="0.2">
      <c r="A27" t="s">
        <v>380</v>
      </c>
      <c r="B27" t="s">
        <v>941</v>
      </c>
      <c r="C27" s="11">
        <v>24560229.693251535</v>
      </c>
      <c r="D27" s="12">
        <v>7.0000000000000007E-2</v>
      </c>
      <c r="E27" s="11">
        <v>27819658.378378376</v>
      </c>
      <c r="F27" s="12">
        <v>6.25E-2</v>
      </c>
      <c r="G27" s="11">
        <v>32068375.072463766</v>
      </c>
      <c r="H27" s="12">
        <v>0.05</v>
      </c>
      <c r="I27" s="11">
        <v>69978862.534429535</v>
      </c>
      <c r="J27" s="12">
        <v>4.3499999999999997E-2</v>
      </c>
    </row>
    <row r="28" spans="1:10" x14ac:dyDescent="0.2">
      <c r="A28" t="s">
        <v>564</v>
      </c>
      <c r="B28" t="s">
        <v>812</v>
      </c>
      <c r="C28" s="11">
        <v>23743852.151898734</v>
      </c>
      <c r="D28" s="12">
        <v>6.7500000000000004E-2</v>
      </c>
      <c r="E28" s="11">
        <v>24967781.052631579</v>
      </c>
      <c r="F28" s="12">
        <v>5.5E-2</v>
      </c>
      <c r="G28" s="11">
        <v>26468689.855072465</v>
      </c>
      <c r="H28" s="12">
        <v>0.05</v>
      </c>
      <c r="I28" s="11">
        <v>59748345.093957812</v>
      </c>
      <c r="J28" s="12">
        <v>4.4999999999999998E-2</v>
      </c>
    </row>
    <row r="29" spans="1:10" x14ac:dyDescent="0.2">
      <c r="A29" t="s">
        <v>210</v>
      </c>
      <c r="B29" t="s">
        <v>211</v>
      </c>
      <c r="C29" s="11">
        <v>23478553.128834356</v>
      </c>
      <c r="D29" s="12">
        <v>7.0000000000000007E-2</v>
      </c>
      <c r="E29" s="11">
        <v>22381524.324324325</v>
      </c>
      <c r="F29" s="12">
        <v>6.25E-2</v>
      </c>
      <c r="G29" s="11">
        <v>26363872.941176474</v>
      </c>
      <c r="H29" s="12">
        <v>5.7500000000000002E-2</v>
      </c>
      <c r="I29" s="11">
        <v>50753780.527858175</v>
      </c>
      <c r="J29" s="12">
        <v>4.8500000000000001E-2</v>
      </c>
    </row>
    <row r="30" spans="1:10" x14ac:dyDescent="0.2">
      <c r="A30" t="s">
        <v>657</v>
      </c>
      <c r="B30" t="s">
        <v>658</v>
      </c>
      <c r="C30" s="11">
        <v>21862523.809523813</v>
      </c>
      <c r="D30" s="12">
        <v>7.2499999999999995E-2</v>
      </c>
      <c r="E30" s="11">
        <v>27093128.648648653</v>
      </c>
      <c r="F30" s="12">
        <v>6.25E-2</v>
      </c>
      <c r="G30" s="11">
        <v>27941531.188811194</v>
      </c>
      <c r="H30" s="12">
        <v>0.05</v>
      </c>
      <c r="I30" s="11">
        <v>54530141.955779962</v>
      </c>
      <c r="J30" s="12">
        <v>4.2000000000000003E-2</v>
      </c>
    </row>
    <row r="31" spans="1:10" x14ac:dyDescent="0.2">
      <c r="A31" t="s">
        <v>644</v>
      </c>
      <c r="B31" t="s">
        <v>645</v>
      </c>
      <c r="C31" s="11">
        <v>21862523.809523813</v>
      </c>
      <c r="D31" s="12">
        <v>0</v>
      </c>
      <c r="E31" s="11">
        <v>25996207.567567568</v>
      </c>
      <c r="F31" s="12">
        <v>6.25E-2</v>
      </c>
      <c r="G31" s="11">
        <v>25728182.483660132</v>
      </c>
      <c r="H31" s="12">
        <v>5.5E-2</v>
      </c>
      <c r="I31" s="11">
        <v>48571012.664806627</v>
      </c>
      <c r="J31" s="12">
        <v>4.7500000000000001E-2</v>
      </c>
    </row>
    <row r="32" spans="1:10" x14ac:dyDescent="0.2">
      <c r="A32" t="s">
        <v>603</v>
      </c>
      <c r="B32" t="s">
        <v>604</v>
      </c>
      <c r="C32" s="11">
        <v>19630089.523809522</v>
      </c>
      <c r="D32" s="12">
        <v>7.2499999999999995E-2</v>
      </c>
      <c r="E32" s="11">
        <v>27658567.804878049</v>
      </c>
      <c r="F32" s="12">
        <v>0.05</v>
      </c>
      <c r="G32" s="11">
        <v>26590697.622377634</v>
      </c>
      <c r="H32" s="12">
        <v>0.05</v>
      </c>
      <c r="I32" s="11">
        <v>52449944.396802805</v>
      </c>
      <c r="J32" s="12">
        <v>4.2999999999999997E-2</v>
      </c>
    </row>
    <row r="33" spans="1:10" x14ac:dyDescent="0.2">
      <c r="A33" t="s">
        <v>171</v>
      </c>
      <c r="B33" t="s">
        <v>1120</v>
      </c>
      <c r="C33" s="11">
        <v>19449459.421965323</v>
      </c>
      <c r="D33" s="12">
        <v>7.4999999999999997E-2</v>
      </c>
      <c r="E33" s="11">
        <v>25093344.927536231</v>
      </c>
      <c r="F33" s="12">
        <v>5.7500000000000002E-2</v>
      </c>
      <c r="G33" s="11">
        <v>24636429.565217391</v>
      </c>
      <c r="H33" s="12">
        <v>0.05</v>
      </c>
      <c r="I33" s="11">
        <v>68961606.442584142</v>
      </c>
      <c r="J33" s="12">
        <v>4.3499999999999997E-2</v>
      </c>
    </row>
    <row r="34" spans="1:10" x14ac:dyDescent="0.2">
      <c r="A34" t="s">
        <v>351</v>
      </c>
      <c r="B34" t="s">
        <v>352</v>
      </c>
      <c r="C34" s="11">
        <v>18861051.560693644</v>
      </c>
      <c r="D34" s="12">
        <v>7.4999999999999997E-2</v>
      </c>
      <c r="E34" s="11">
        <v>21502112.463768117</v>
      </c>
      <c r="F34" s="12">
        <v>5.7500000000000002E-2</v>
      </c>
      <c r="G34" s="11">
        <v>22377374.545454551</v>
      </c>
      <c r="H34" s="12">
        <v>5.2499999999999998E-2</v>
      </c>
      <c r="I34" s="11">
        <v>65326512.300921217</v>
      </c>
      <c r="J34" s="12">
        <v>4.4999999999999998E-2</v>
      </c>
    </row>
    <row r="35" spans="1:10" x14ac:dyDescent="0.2">
      <c r="A35" t="s">
        <v>553</v>
      </c>
      <c r="B35" t="s">
        <v>554</v>
      </c>
      <c r="C35" s="11">
        <v>16692974.177215191</v>
      </c>
      <c r="D35" s="12">
        <v>6.7500000000000004E-2</v>
      </c>
      <c r="E35" s="11">
        <v>17511458.646616541</v>
      </c>
      <c r="F35" s="12">
        <v>5.5E-2</v>
      </c>
      <c r="G35" s="11">
        <v>20652796.521739133</v>
      </c>
      <c r="H35" s="12">
        <v>0.05</v>
      </c>
      <c r="I35" s="11">
        <v>62109829.73966673</v>
      </c>
      <c r="J35" s="12">
        <v>4.2999999999999997E-2</v>
      </c>
    </row>
    <row r="36" spans="1:10" x14ac:dyDescent="0.2">
      <c r="A36" t="s">
        <v>665</v>
      </c>
      <c r="B36" t="s">
        <v>666</v>
      </c>
      <c r="C36" s="11">
        <v>16293959.550561799</v>
      </c>
      <c r="D36" s="12">
        <v>7.7499999999999999E-2</v>
      </c>
      <c r="E36" s="11">
        <v>18708658.227848101</v>
      </c>
      <c r="F36" s="12">
        <v>6.7500000000000004E-2</v>
      </c>
      <c r="G36" s="11">
        <v>22256453.146853145</v>
      </c>
      <c r="H36" s="12">
        <v>5.5E-2</v>
      </c>
      <c r="I36" s="11">
        <v>93965031.523525104</v>
      </c>
      <c r="J36" s="12">
        <v>4.4999999999999998E-2</v>
      </c>
    </row>
    <row r="37" spans="1:10" x14ac:dyDescent="0.2">
      <c r="A37" t="s">
        <v>268</v>
      </c>
      <c r="B37" t="s">
        <v>269</v>
      </c>
      <c r="C37" s="11">
        <v>15592943.352601158</v>
      </c>
      <c r="D37" s="12">
        <v>7.4999999999999997E-2</v>
      </c>
      <c r="E37" s="11">
        <v>21885702.028985512</v>
      </c>
      <c r="F37" s="12">
        <v>5.7500000000000002E-2</v>
      </c>
      <c r="G37" s="11">
        <v>24016691.468531471</v>
      </c>
      <c r="H37" s="12">
        <v>5.2499999999999998E-2</v>
      </c>
      <c r="I37" s="11">
        <v>66910728.003278375</v>
      </c>
      <c r="J37" s="12">
        <v>4.4499999999999998E-2</v>
      </c>
    </row>
    <row r="38" spans="1:10" x14ac:dyDescent="0.2">
      <c r="A38" t="s">
        <v>111</v>
      </c>
      <c r="B38" t="s">
        <v>112</v>
      </c>
      <c r="C38" s="11">
        <v>15560763.680981593</v>
      </c>
      <c r="D38" s="12">
        <v>7.0000000000000007E-2</v>
      </c>
      <c r="E38" s="11">
        <v>18413021.538461536</v>
      </c>
      <c r="F38" s="12">
        <v>0.06</v>
      </c>
      <c r="G38" s="11">
        <v>18889939.869281042</v>
      </c>
      <c r="H38" s="12">
        <v>5.7500000000000002E-2</v>
      </c>
      <c r="I38" s="11">
        <v>36249474.215984412</v>
      </c>
      <c r="J38" s="12">
        <v>4.65E-2</v>
      </c>
    </row>
    <row r="39" spans="1:10" x14ac:dyDescent="0.2">
      <c r="A39" t="s">
        <v>522</v>
      </c>
      <c r="B39" t="s">
        <v>523</v>
      </c>
      <c r="C39" s="11">
        <v>15489492.716763007</v>
      </c>
      <c r="D39" s="12">
        <v>7.4999999999999997E-2</v>
      </c>
      <c r="E39" s="11">
        <v>19252396.521739129</v>
      </c>
      <c r="F39" s="12">
        <v>5.7500000000000002E-2</v>
      </c>
      <c r="G39" s="11">
        <v>23201635.36231884</v>
      </c>
      <c r="H39" s="12">
        <v>5.2499999999999998E-2</v>
      </c>
      <c r="I39" s="11">
        <v>56246971.966604307</v>
      </c>
      <c r="J39" s="12">
        <v>4.3499999999999997E-2</v>
      </c>
    </row>
    <row r="40" spans="1:10" x14ac:dyDescent="0.2">
      <c r="A40" t="s">
        <v>535</v>
      </c>
      <c r="B40" t="s">
        <v>536</v>
      </c>
      <c r="C40" s="11">
        <v>15465961.226993859</v>
      </c>
      <c r="D40" s="12">
        <v>7.0000000000000007E-2</v>
      </c>
      <c r="E40" s="11">
        <v>18570929.230769232</v>
      </c>
      <c r="F40" s="12">
        <v>0.06</v>
      </c>
      <c r="G40" s="11">
        <v>18278481.045751628</v>
      </c>
      <c r="H40" s="12">
        <v>5.5E-2</v>
      </c>
      <c r="I40" s="11">
        <v>39602211.07402385</v>
      </c>
      <c r="J40" s="12">
        <v>4.9000000000000002E-2</v>
      </c>
    </row>
    <row r="41" spans="1:10" x14ac:dyDescent="0.2">
      <c r="A41" t="s">
        <v>551</v>
      </c>
      <c r="B41" t="s">
        <v>552</v>
      </c>
      <c r="C41" s="11">
        <v>15290920.69364162</v>
      </c>
      <c r="D41" s="12">
        <v>7.4999999999999997E-2</v>
      </c>
      <c r="E41" s="11">
        <v>21180962.318840578</v>
      </c>
      <c r="F41" s="12">
        <v>5.7500000000000002E-2</v>
      </c>
      <c r="G41" s="11">
        <v>23770659.580419581</v>
      </c>
      <c r="H41" s="12">
        <v>5.2499999999999998E-2</v>
      </c>
      <c r="I41" s="11">
        <v>62122363.140883036</v>
      </c>
      <c r="J41" s="12">
        <v>4.3999999999999997E-2</v>
      </c>
    </row>
    <row r="42" spans="1:10" x14ac:dyDescent="0.2">
      <c r="A42" t="s">
        <v>134</v>
      </c>
      <c r="B42" t="s">
        <v>1129</v>
      </c>
      <c r="C42" s="11">
        <v>15211555.955056176</v>
      </c>
      <c r="D42" s="12">
        <v>7.7499999999999999E-2</v>
      </c>
      <c r="E42" s="11">
        <v>21535283.478260871</v>
      </c>
      <c r="F42" s="12">
        <v>5.7500000000000002E-2</v>
      </c>
      <c r="G42" s="11">
        <v>21444547.973856207</v>
      </c>
      <c r="H42" s="12">
        <v>5.2499999999999998E-2</v>
      </c>
      <c r="I42" s="11">
        <v>60020751.385521308</v>
      </c>
      <c r="J42" s="12">
        <v>4.7500000000000001E-2</v>
      </c>
    </row>
    <row r="43" spans="1:10" x14ac:dyDescent="0.2">
      <c r="A43" t="s">
        <v>440</v>
      </c>
      <c r="B43" t="s">
        <v>1102</v>
      </c>
      <c r="C43" s="11">
        <v>14387433.707865167</v>
      </c>
      <c r="D43" s="12">
        <v>7.7499999999999999E-2</v>
      </c>
      <c r="E43" s="11">
        <v>16335128.115942026</v>
      </c>
      <c r="F43" s="12">
        <v>5.7500000000000002E-2</v>
      </c>
      <c r="G43" s="11">
        <v>20551801.398601402</v>
      </c>
      <c r="H43" s="12">
        <v>5.2499999999999998E-2</v>
      </c>
      <c r="I43" s="11">
        <v>63791938.36225944</v>
      </c>
      <c r="J43" s="12">
        <v>4.4999999999999998E-2</v>
      </c>
    </row>
    <row r="44" spans="1:10" x14ac:dyDescent="0.2">
      <c r="A44" t="s">
        <v>652</v>
      </c>
      <c r="B44" t="s">
        <v>653</v>
      </c>
      <c r="C44" s="11">
        <v>12293567.640449438</v>
      </c>
      <c r="D44" s="12">
        <v>7.7499999999999999E-2</v>
      </c>
      <c r="E44" s="11">
        <v>16493546.66666667</v>
      </c>
      <c r="F44" s="12">
        <v>5.7500000000000002E-2</v>
      </c>
      <c r="G44" s="11">
        <v>15367200.579710146</v>
      </c>
      <c r="H44" s="12">
        <v>5.2499999999999998E-2</v>
      </c>
      <c r="I44" s="11">
        <v>53005849.229023792</v>
      </c>
      <c r="J44" s="12">
        <v>4.3499999999999997E-2</v>
      </c>
    </row>
    <row r="45" spans="1:10" x14ac:dyDescent="0.2">
      <c r="A45" t="s">
        <v>385</v>
      </c>
      <c r="B45" t="s">
        <v>386</v>
      </c>
      <c r="C45" s="11">
        <v>11268073.333333336</v>
      </c>
      <c r="D45" s="12">
        <v>7.2499999999999995E-2</v>
      </c>
      <c r="E45" s="11">
        <v>13339037.837837838</v>
      </c>
      <c r="F45" s="12">
        <v>6.25E-2</v>
      </c>
      <c r="G45" s="11">
        <v>14176200</v>
      </c>
      <c r="H45" s="12">
        <v>5.5E-2</v>
      </c>
      <c r="I45" s="11">
        <v>26773700.97995967</v>
      </c>
      <c r="J45" s="12">
        <v>4.8500000000000001E-2</v>
      </c>
    </row>
    <row r="46" spans="1:10" x14ac:dyDescent="0.2">
      <c r="A46" t="s">
        <v>154</v>
      </c>
      <c r="B46" t="s">
        <v>155</v>
      </c>
      <c r="C46" s="11">
        <v>11256236.065573767</v>
      </c>
      <c r="D46" s="12">
        <v>0.08</v>
      </c>
      <c r="E46" s="11">
        <v>21764691.014492758</v>
      </c>
      <c r="F46" s="12">
        <v>5.7500000000000002E-2</v>
      </c>
      <c r="G46" s="11">
        <v>25192653.426573426</v>
      </c>
      <c r="H46" s="12">
        <v>5.2499999999999998E-2</v>
      </c>
      <c r="I46" s="11">
        <v>71128149.894733399</v>
      </c>
      <c r="J46" s="12">
        <v>4.5999999999999999E-2</v>
      </c>
    </row>
    <row r="47" spans="1:10" x14ac:dyDescent="0.2">
      <c r="A47" t="s">
        <v>288</v>
      </c>
      <c r="B47" t="s">
        <v>1131</v>
      </c>
      <c r="C47" s="11">
        <v>11256236.065573767</v>
      </c>
      <c r="D47" s="12">
        <v>0.08</v>
      </c>
      <c r="E47" s="11">
        <v>21279675.362318832</v>
      </c>
      <c r="F47" s="12">
        <v>5.7500000000000002E-2</v>
      </c>
      <c r="G47" s="11">
        <v>21151543.243243199</v>
      </c>
      <c r="H47" s="12">
        <v>5.2499999999999998E-2</v>
      </c>
      <c r="I47" s="11">
        <v>54089332.647448443</v>
      </c>
      <c r="J47" s="12">
        <v>4.7500000000000001E-2</v>
      </c>
    </row>
    <row r="48" spans="1:10" x14ac:dyDescent="0.2">
      <c r="A48" t="s">
        <v>520</v>
      </c>
      <c r="B48" t="s">
        <v>1149</v>
      </c>
      <c r="C48" s="11">
        <v>11134684.855491331</v>
      </c>
      <c r="D48" s="12">
        <v>7.4999999999999997E-2</v>
      </c>
      <c r="E48" s="11">
        <v>14513691.428571429</v>
      </c>
      <c r="F48" s="12">
        <v>5.5E-2</v>
      </c>
      <c r="G48" s="11">
        <v>13422767.55244755</v>
      </c>
      <c r="H48" s="12">
        <v>5.2499999999999998E-2</v>
      </c>
      <c r="I48" s="11">
        <v>37232168.509584658</v>
      </c>
      <c r="J48" s="12">
        <v>4.5999999999999999E-2</v>
      </c>
    </row>
    <row r="49" spans="1:10" x14ac:dyDescent="0.2">
      <c r="A49" t="s">
        <v>394</v>
      </c>
      <c r="B49" t="s">
        <v>395</v>
      </c>
      <c r="C49" s="11">
        <v>10515219.631901838</v>
      </c>
      <c r="D49" s="12">
        <v>7.0000000000000007E-2</v>
      </c>
      <c r="E49" s="11">
        <v>12272147.027027026</v>
      </c>
      <c r="F49" s="12">
        <v>6.25E-2</v>
      </c>
      <c r="G49" s="11">
        <v>12070749.18918919</v>
      </c>
      <c r="H49" s="12">
        <v>5.2499999999999998E-2</v>
      </c>
      <c r="I49" s="11">
        <v>27023257.558498558</v>
      </c>
      <c r="J49" s="12">
        <v>0.05</v>
      </c>
    </row>
    <row r="50" spans="1:10" x14ac:dyDescent="0.2">
      <c r="A50" t="s">
        <v>648</v>
      </c>
      <c r="B50" t="s">
        <v>1112</v>
      </c>
      <c r="C50" s="11">
        <v>9818827.8651685379</v>
      </c>
      <c r="D50" s="12">
        <v>7.7499999999999999E-2</v>
      </c>
      <c r="E50" s="11">
        <v>10720749.650349649</v>
      </c>
      <c r="F50" s="12">
        <v>0.06</v>
      </c>
      <c r="G50" s="11">
        <v>14122158.954248371</v>
      </c>
      <c r="H50" s="12">
        <v>5.5E-2</v>
      </c>
      <c r="I50" s="11">
        <v>32491250.605819311</v>
      </c>
      <c r="J50" s="12">
        <v>4.7500000000000001E-2</v>
      </c>
    </row>
    <row r="51" spans="1:10" x14ac:dyDescent="0.2">
      <c r="A51" t="s">
        <v>366</v>
      </c>
      <c r="B51" t="s">
        <v>1151</v>
      </c>
      <c r="C51" s="11">
        <v>9289084.1530054659</v>
      </c>
      <c r="D51" s="12">
        <v>0.08</v>
      </c>
      <c r="E51" s="11">
        <v>12384039.420289855</v>
      </c>
      <c r="F51" s="12">
        <v>5.7500000000000002E-2</v>
      </c>
      <c r="G51" s="11">
        <v>11996759.738562092</v>
      </c>
      <c r="H51" s="12">
        <v>5.2499999999999998E-2</v>
      </c>
      <c r="I51" s="11">
        <v>40351008.220188558</v>
      </c>
      <c r="J51" s="12">
        <v>4.7500000000000001E-2</v>
      </c>
    </row>
    <row r="52" spans="1:10" x14ac:dyDescent="0.2">
      <c r="A52" t="s">
        <v>133</v>
      </c>
      <c r="B52" t="s">
        <v>1117</v>
      </c>
      <c r="C52" s="11">
        <v>6738619.1907514455</v>
      </c>
      <c r="D52" s="12">
        <v>7.4999999999999997E-2</v>
      </c>
      <c r="E52" s="11">
        <v>8868331.5942028984</v>
      </c>
      <c r="F52" s="12">
        <v>5.7500000000000002E-2</v>
      </c>
      <c r="G52" s="11">
        <v>13970417.97101449</v>
      </c>
      <c r="H52" s="12">
        <v>5.2499999999999998E-2</v>
      </c>
      <c r="I52" s="11">
        <v>36294509.074606106</v>
      </c>
      <c r="J52" s="12">
        <v>4.3999999999999997E-2</v>
      </c>
    </row>
    <row r="53" spans="1:10" x14ac:dyDescent="0.2">
      <c r="A53" t="s">
        <v>525</v>
      </c>
      <c r="B53" t="s">
        <v>526</v>
      </c>
      <c r="C53" s="11">
        <v>0</v>
      </c>
      <c r="D53" s="12">
        <v>6.7500000000000004E-2</v>
      </c>
      <c r="E53" s="11">
        <v>47761370.434782609</v>
      </c>
      <c r="F53" s="12">
        <v>5.7500000000000002E-2</v>
      </c>
      <c r="G53" s="11">
        <v>69303800</v>
      </c>
      <c r="H53" s="12">
        <v>0.05</v>
      </c>
      <c r="I53" s="11">
        <v>145576227.42419118</v>
      </c>
      <c r="J53" s="12">
        <v>0.05</v>
      </c>
    </row>
    <row r="54" spans="1:10" x14ac:dyDescent="0.2">
      <c r="A54" t="s">
        <v>297</v>
      </c>
      <c r="B54" t="s">
        <v>298</v>
      </c>
      <c r="C54" s="11">
        <v>0</v>
      </c>
      <c r="D54" s="12" t="e">
        <v>#N/A</v>
      </c>
      <c r="E54" s="11">
        <v>0</v>
      </c>
      <c r="F54" s="12" t="e">
        <v>#N/A</v>
      </c>
      <c r="G54" s="11">
        <v>139165852.08633095</v>
      </c>
      <c r="H54" s="12">
        <v>0.05</v>
      </c>
      <c r="I54" s="11">
        <v>266558771.23879379</v>
      </c>
      <c r="J54" s="12">
        <v>4.2450000000000002E-2</v>
      </c>
    </row>
    <row r="55" spans="1:10" x14ac:dyDescent="0.2">
      <c r="A55" t="s">
        <v>343</v>
      </c>
      <c r="B55" t="s">
        <v>1430</v>
      </c>
      <c r="C55" s="11">
        <v>0</v>
      </c>
      <c r="D55" s="12" t="e">
        <v>#N/A</v>
      </c>
      <c r="E55" s="11">
        <v>0</v>
      </c>
      <c r="F55" s="12" t="e">
        <v>#N/A</v>
      </c>
      <c r="G55" s="11">
        <v>123780707.13286716</v>
      </c>
      <c r="H55" s="12">
        <v>5.2499999999999998E-2</v>
      </c>
      <c r="I55" s="11">
        <v>351013154.99328524</v>
      </c>
      <c r="J55" s="12">
        <v>4.3499999999999997E-2</v>
      </c>
    </row>
    <row r="56" spans="1:10" x14ac:dyDescent="0.2">
      <c r="A56" t="s">
        <v>396</v>
      </c>
      <c r="B56" t="s">
        <v>1431</v>
      </c>
      <c r="C56" s="11">
        <v>0</v>
      </c>
      <c r="D56" s="12" t="e">
        <v>#N/A</v>
      </c>
      <c r="E56" s="11">
        <v>0</v>
      </c>
      <c r="F56" s="12" t="e">
        <v>#N/A</v>
      </c>
      <c r="G56" s="11">
        <v>87625568.120300755</v>
      </c>
      <c r="H56" s="12">
        <v>4.7500000000000001E-2</v>
      </c>
      <c r="I56" s="11">
        <v>151842773.21256062</v>
      </c>
      <c r="J56" s="12">
        <v>4.3499999999999997E-2</v>
      </c>
    </row>
    <row r="57" spans="1:10" x14ac:dyDescent="0.2">
      <c r="A57" t="s">
        <v>598</v>
      </c>
      <c r="B57" t="s">
        <v>599</v>
      </c>
      <c r="C57" s="11">
        <v>0</v>
      </c>
      <c r="D57" s="12" t="e">
        <v>#N/A</v>
      </c>
      <c r="E57" s="11">
        <v>0</v>
      </c>
      <c r="F57" s="12" t="e">
        <v>#N/A</v>
      </c>
      <c r="G57" s="11">
        <v>74309001.37931034</v>
      </c>
      <c r="H57" s="12">
        <v>5.1500000000000004E-2</v>
      </c>
      <c r="I57" s="11">
        <v>131126114.78937273</v>
      </c>
      <c r="J57" s="12">
        <v>4.4999999999999998E-2</v>
      </c>
    </row>
    <row r="58" spans="1:10" x14ac:dyDescent="0.2">
      <c r="A58" t="s">
        <v>416</v>
      </c>
      <c r="B58" t="s">
        <v>1425</v>
      </c>
      <c r="C58" s="11">
        <v>0</v>
      </c>
      <c r="D58" s="12" t="e">
        <v>#N/A</v>
      </c>
      <c r="E58" s="11">
        <v>0</v>
      </c>
      <c r="F58" s="12" t="e">
        <v>#N/A</v>
      </c>
      <c r="G58" s="11">
        <v>68433462.937062934</v>
      </c>
      <c r="H58" s="12">
        <v>5.2499999999999998E-2</v>
      </c>
      <c r="I58" s="11">
        <v>195091593.7514737</v>
      </c>
      <c r="J58" s="12">
        <v>4.3999999999999997E-2</v>
      </c>
    </row>
    <row r="59" spans="1:10" x14ac:dyDescent="0.2">
      <c r="A59" t="s">
        <v>265</v>
      </c>
      <c r="B59" t="s">
        <v>264</v>
      </c>
      <c r="C59" s="11">
        <v>0</v>
      </c>
      <c r="D59" s="12" t="e">
        <v>#N/A</v>
      </c>
      <c r="E59" s="11">
        <v>0</v>
      </c>
      <c r="F59" s="12" t="e">
        <v>#N/A</v>
      </c>
      <c r="G59" s="11">
        <v>66893137.443609029</v>
      </c>
      <c r="H59" s="12">
        <v>4.7500000000000001E-2</v>
      </c>
      <c r="I59" s="11">
        <v>146621328.69911918</v>
      </c>
      <c r="J59" s="12">
        <v>4.3999999999999997E-2</v>
      </c>
    </row>
    <row r="60" spans="1:10" x14ac:dyDescent="0.2">
      <c r="A60" t="s">
        <v>576</v>
      </c>
      <c r="B60" t="s">
        <v>872</v>
      </c>
      <c r="C60" s="11">
        <v>0</v>
      </c>
      <c r="D60" s="12" t="e">
        <v>#N/A</v>
      </c>
      <c r="E60" s="11">
        <v>0</v>
      </c>
      <c r="F60" s="12" t="e">
        <v>#N/A</v>
      </c>
      <c r="G60" s="11">
        <v>58908582.941176467</v>
      </c>
      <c r="H60" s="12">
        <v>0</v>
      </c>
      <c r="I60" s="11">
        <v>161021311.09197453</v>
      </c>
      <c r="J60" s="12">
        <v>0.04</v>
      </c>
    </row>
    <row r="61" spans="1:10" x14ac:dyDescent="0.2">
      <c r="A61" t="s">
        <v>177</v>
      </c>
      <c r="B61" t="s">
        <v>1076</v>
      </c>
      <c r="C61" s="11">
        <v>0</v>
      </c>
      <c r="D61" s="12" t="e">
        <v>#N/A</v>
      </c>
      <c r="E61" s="11">
        <v>0</v>
      </c>
      <c r="F61" s="12" t="e">
        <v>#N/A</v>
      </c>
      <c r="G61" s="11">
        <v>58550608.671328664</v>
      </c>
      <c r="H61" s="12">
        <v>0.05</v>
      </c>
      <c r="I61" s="11">
        <v>82928160.47481969</v>
      </c>
      <c r="J61" s="12">
        <v>4.7500000000000001E-2</v>
      </c>
    </row>
    <row r="62" spans="1:10" x14ac:dyDescent="0.2">
      <c r="A62" t="s">
        <v>329</v>
      </c>
      <c r="B62" t="s">
        <v>1442</v>
      </c>
      <c r="C62" s="11">
        <v>0</v>
      </c>
      <c r="D62" s="12" t="e">
        <v>#N/A</v>
      </c>
      <c r="E62" s="11">
        <v>0</v>
      </c>
      <c r="F62" s="12" t="e">
        <v>#N/A</v>
      </c>
      <c r="G62" s="11">
        <v>54717694.492753625</v>
      </c>
      <c r="H62" s="12">
        <v>0.05</v>
      </c>
      <c r="I62" s="11">
        <v>100084465.83272681</v>
      </c>
      <c r="J62" s="12">
        <v>4.4999999999999998E-2</v>
      </c>
    </row>
    <row r="63" spans="1:10" x14ac:dyDescent="0.2">
      <c r="A63" t="s">
        <v>334</v>
      </c>
      <c r="B63" t="s">
        <v>335</v>
      </c>
      <c r="C63" s="11">
        <v>0</v>
      </c>
      <c r="D63" s="12" t="e">
        <v>#N/A</v>
      </c>
      <c r="E63" s="11">
        <v>0</v>
      </c>
      <c r="F63" s="12" t="e">
        <v>#N/A</v>
      </c>
      <c r="G63" s="11">
        <v>53000289.361702129</v>
      </c>
      <c r="H63" s="12">
        <v>0.05</v>
      </c>
      <c r="I63" s="11">
        <v>137080619.08404568</v>
      </c>
      <c r="J63" s="12">
        <v>4.3499999999999997E-2</v>
      </c>
    </row>
    <row r="64" spans="1:10" x14ac:dyDescent="0.2">
      <c r="A64" t="s">
        <v>153</v>
      </c>
      <c r="B64" t="s">
        <v>1420</v>
      </c>
      <c r="C64" s="11">
        <v>0</v>
      </c>
      <c r="D64" s="12" t="e">
        <v>#N/A</v>
      </c>
      <c r="E64" s="11">
        <v>0</v>
      </c>
      <c r="F64" s="12" t="e">
        <v>#N/A</v>
      </c>
      <c r="G64" s="11">
        <v>52169088.721804522</v>
      </c>
      <c r="H64" s="12">
        <v>4.7500000000000001E-2</v>
      </c>
      <c r="I64" s="11">
        <v>92322933.666511521</v>
      </c>
      <c r="J64" s="12">
        <v>4.3499999999999997E-2</v>
      </c>
    </row>
    <row r="65" spans="1:10" x14ac:dyDescent="0.2">
      <c r="A65" t="s">
        <v>399</v>
      </c>
      <c r="B65" t="s">
        <v>1444</v>
      </c>
      <c r="C65" s="11">
        <v>0</v>
      </c>
      <c r="D65" s="12" t="e">
        <v>#N/A</v>
      </c>
      <c r="E65" s="11">
        <v>0</v>
      </c>
      <c r="F65" s="12" t="e">
        <v>#N/A</v>
      </c>
      <c r="G65" s="11">
        <v>49794184.370860927</v>
      </c>
      <c r="H65" s="12">
        <v>5.5E-2</v>
      </c>
      <c r="I65" s="11">
        <v>100601971.50516357</v>
      </c>
      <c r="J65" s="12">
        <v>4.7500000000000001E-2</v>
      </c>
    </row>
    <row r="66" spans="1:10" x14ac:dyDescent="0.2">
      <c r="A66" t="s">
        <v>582</v>
      </c>
      <c r="B66" t="s">
        <v>1109</v>
      </c>
      <c r="C66" s="11">
        <v>0</v>
      </c>
      <c r="D66" s="12" t="e">
        <v>#N/A</v>
      </c>
      <c r="E66" s="11">
        <v>0</v>
      </c>
      <c r="F66" s="12" t="e">
        <v>#N/A</v>
      </c>
      <c r="G66" s="11">
        <v>45787364.057971023</v>
      </c>
      <c r="H66" s="12">
        <v>5.5154163465149592E-2</v>
      </c>
      <c r="I66" s="11">
        <v>139813422.25596893</v>
      </c>
      <c r="J66" s="12">
        <v>4.3999999999999997E-2</v>
      </c>
    </row>
    <row r="67" spans="1:10" x14ac:dyDescent="0.2">
      <c r="A67" t="s">
        <v>404</v>
      </c>
      <c r="B67" t="s">
        <v>405</v>
      </c>
      <c r="C67" s="11">
        <v>0</v>
      </c>
      <c r="D67" s="12" t="e">
        <v>#N/A</v>
      </c>
      <c r="E67" s="11">
        <v>0</v>
      </c>
      <c r="F67" s="12" t="e">
        <v>#N/A</v>
      </c>
      <c r="G67" s="11">
        <v>44140942.162162155</v>
      </c>
      <c r="H67" s="12">
        <v>5.5E-2</v>
      </c>
      <c r="I67" s="11">
        <v>83204315.562695622</v>
      </c>
      <c r="J67" s="12">
        <v>4.7500000000000001E-2</v>
      </c>
    </row>
    <row r="68" spans="1:10" x14ac:dyDescent="0.2">
      <c r="A68" t="s">
        <v>101</v>
      </c>
      <c r="B68" t="s">
        <v>102</v>
      </c>
      <c r="C68" s="11">
        <v>0</v>
      </c>
      <c r="D68" s="12" t="e">
        <v>#N/A</v>
      </c>
      <c r="E68" s="11">
        <v>0</v>
      </c>
      <c r="F68" s="12" t="e">
        <v>#N/A</v>
      </c>
      <c r="G68" s="11">
        <v>35507057.34265735</v>
      </c>
      <c r="H68" s="12">
        <v>5.5E-2</v>
      </c>
      <c r="I68" s="11">
        <v>98495237.152013198</v>
      </c>
      <c r="J68" s="12">
        <v>4.3999999999999997E-2</v>
      </c>
    </row>
    <row r="69" spans="1:10" x14ac:dyDescent="0.2">
      <c r="A69" t="s">
        <v>450</v>
      </c>
      <c r="B69" t="s">
        <v>1111</v>
      </c>
      <c r="C69" s="11">
        <v>0</v>
      </c>
      <c r="D69" s="12" t="e">
        <v>#N/A</v>
      </c>
      <c r="E69" s="11">
        <v>0</v>
      </c>
      <c r="F69" s="12" t="e">
        <v>#N/A</v>
      </c>
      <c r="G69" s="11">
        <v>33851689.275362328</v>
      </c>
      <c r="H69" s="12">
        <v>5.2499999999999998E-2</v>
      </c>
      <c r="I69" s="11">
        <v>89347138.470220029</v>
      </c>
      <c r="J69" s="12">
        <v>4.3999999999999997E-2</v>
      </c>
    </row>
    <row r="70" spans="1:10" x14ac:dyDescent="0.2">
      <c r="A70" t="s">
        <v>617</v>
      </c>
      <c r="B70" t="s">
        <v>1446</v>
      </c>
      <c r="C70" s="11">
        <v>0</v>
      </c>
      <c r="D70" s="12" t="e">
        <v>#N/A</v>
      </c>
      <c r="E70" s="11">
        <v>0</v>
      </c>
      <c r="F70" s="12" t="e">
        <v>#N/A</v>
      </c>
      <c r="G70" s="11">
        <v>31906842.531645574</v>
      </c>
      <c r="H70" s="12">
        <v>5.5E-2</v>
      </c>
      <c r="I70" s="11">
        <v>71948969.909519926</v>
      </c>
      <c r="J70" s="12">
        <v>4.7500000000000001E-2</v>
      </c>
    </row>
    <row r="71" spans="1:10" x14ac:dyDescent="0.2">
      <c r="A71" t="s">
        <v>378</v>
      </c>
      <c r="B71" t="s">
        <v>379</v>
      </c>
      <c r="C71" s="11">
        <v>0</v>
      </c>
      <c r="D71" s="12" t="e">
        <v>#N/A</v>
      </c>
      <c r="E71" s="11">
        <v>0</v>
      </c>
      <c r="F71" s="12" t="e">
        <v>#N/A</v>
      </c>
      <c r="G71" s="11">
        <v>31480851.468531463</v>
      </c>
      <c r="H71" s="12">
        <v>5.2499999999999998E-2</v>
      </c>
      <c r="I71" s="11">
        <v>100496289.94087735</v>
      </c>
      <c r="J71" s="12">
        <v>4.4000000000000004E-2</v>
      </c>
    </row>
    <row r="72" spans="1:10" x14ac:dyDescent="0.2">
      <c r="A72" t="s">
        <v>139</v>
      </c>
      <c r="B72" t="s">
        <v>140</v>
      </c>
      <c r="C72" s="11">
        <v>0</v>
      </c>
      <c r="D72" s="12" t="e">
        <v>#N/A</v>
      </c>
      <c r="E72" s="11">
        <v>0</v>
      </c>
      <c r="F72" s="12" t="e">
        <v>#N/A</v>
      </c>
      <c r="G72" s="11">
        <v>29653776.783216793</v>
      </c>
      <c r="H72" s="12">
        <v>5.2499999999999998E-2</v>
      </c>
      <c r="I72" s="11">
        <v>82415328.624937594</v>
      </c>
      <c r="J72" s="12">
        <v>4.2999999999999997E-2</v>
      </c>
    </row>
    <row r="73" spans="1:10" x14ac:dyDescent="0.2">
      <c r="A73" t="s">
        <v>487</v>
      </c>
      <c r="B73" t="s">
        <v>791</v>
      </c>
      <c r="C73" s="11">
        <v>0</v>
      </c>
      <c r="D73" s="12" t="e">
        <v>#N/A</v>
      </c>
      <c r="E73" s="11">
        <v>0</v>
      </c>
      <c r="F73" s="12" t="e">
        <v>#N/A</v>
      </c>
      <c r="G73" s="11">
        <v>27937164.195804201</v>
      </c>
      <c r="H73" s="12">
        <v>5.2499999999999998E-2</v>
      </c>
      <c r="I73" s="11">
        <v>77397128.847345695</v>
      </c>
      <c r="J73" s="12">
        <v>4.3499999999999997E-2</v>
      </c>
    </row>
    <row r="74" spans="1:10" x14ac:dyDescent="0.2">
      <c r="A74" t="s">
        <v>125</v>
      </c>
      <c r="B74" t="s">
        <v>1434</v>
      </c>
      <c r="C74" s="11">
        <v>0</v>
      </c>
      <c r="D74" s="12" t="e">
        <v>#N/A</v>
      </c>
      <c r="E74" s="11">
        <v>0</v>
      </c>
      <c r="F74" s="12" t="e">
        <v>#N/A</v>
      </c>
      <c r="G74" s="11">
        <v>27085681.118881121</v>
      </c>
      <c r="H74" s="12">
        <v>5.2499999999999998E-2</v>
      </c>
      <c r="I74" s="11">
        <v>67772515.658183008</v>
      </c>
      <c r="J74" s="12">
        <v>4.7E-2</v>
      </c>
    </row>
    <row r="75" spans="1:10" x14ac:dyDescent="0.2">
      <c r="A75" t="s">
        <v>667</v>
      </c>
      <c r="B75" t="s">
        <v>1013</v>
      </c>
      <c r="C75" s="11">
        <v>0</v>
      </c>
      <c r="D75" s="12" t="e">
        <v>#N/A</v>
      </c>
      <c r="E75" s="11">
        <v>0</v>
      </c>
      <c r="F75" s="12" t="e">
        <v>#N/A</v>
      </c>
      <c r="G75" s="11">
        <v>26188384.761904757</v>
      </c>
      <c r="H75" s="12">
        <v>5.5E-2</v>
      </c>
      <c r="I75" s="11">
        <v>48870446.41632773</v>
      </c>
      <c r="J75" s="12">
        <v>4.8500000000000001E-2</v>
      </c>
    </row>
    <row r="76" spans="1:10" x14ac:dyDescent="0.2">
      <c r="A76" t="s">
        <v>607</v>
      </c>
      <c r="B76" t="s">
        <v>1025</v>
      </c>
      <c r="C76" s="11">
        <v>0</v>
      </c>
      <c r="D76" s="12" t="e">
        <v>#N/A</v>
      </c>
      <c r="E76" s="11">
        <v>0</v>
      </c>
      <c r="F76" s="12" t="e">
        <v>#N/A</v>
      </c>
      <c r="G76" s="11">
        <v>25541987.848101262</v>
      </c>
      <c r="H76" s="12">
        <v>5.5E-2</v>
      </c>
      <c r="I76" s="11">
        <v>52400124.347220875</v>
      </c>
      <c r="J76" s="12">
        <v>4.9000000000000002E-2</v>
      </c>
    </row>
    <row r="77" spans="1:10" x14ac:dyDescent="0.2">
      <c r="A77" t="s">
        <v>372</v>
      </c>
      <c r="B77" t="s">
        <v>1426</v>
      </c>
      <c r="C77" s="11">
        <v>0</v>
      </c>
      <c r="D77" s="12" t="e">
        <v>#N/A</v>
      </c>
      <c r="E77" s="11">
        <v>0</v>
      </c>
      <c r="F77" s="12" t="e">
        <v>#N/A</v>
      </c>
      <c r="G77" s="11">
        <v>24964824.615384616</v>
      </c>
      <c r="H77" s="12">
        <v>5.2499999999999998E-2</v>
      </c>
      <c r="I77" s="11">
        <v>62909557.28118524</v>
      </c>
      <c r="J77" s="12">
        <v>4.3499999999999997E-2</v>
      </c>
    </row>
    <row r="78" spans="1:10" x14ac:dyDescent="0.2">
      <c r="A78" t="s">
        <v>118</v>
      </c>
      <c r="B78" t="s">
        <v>861</v>
      </c>
      <c r="C78" s="11">
        <v>0</v>
      </c>
      <c r="D78" s="12" t="e">
        <v>#N/A</v>
      </c>
      <c r="E78" s="11">
        <v>0</v>
      </c>
      <c r="F78" s="12" t="e">
        <v>#N/A</v>
      </c>
      <c r="G78" s="11">
        <v>24903220.699300699</v>
      </c>
      <c r="H78" s="12">
        <v>5.2499999999999998E-2</v>
      </c>
      <c r="I78" s="11">
        <v>66689300.583415076</v>
      </c>
      <c r="J78" s="12">
        <v>4.4999999999999998E-2</v>
      </c>
    </row>
    <row r="79" spans="1:10" x14ac:dyDescent="0.2">
      <c r="A79" t="s">
        <v>150</v>
      </c>
      <c r="B79" t="s">
        <v>1447</v>
      </c>
      <c r="C79" s="11">
        <v>0</v>
      </c>
      <c r="D79" s="12" t="e">
        <v>#N/A</v>
      </c>
      <c r="E79" s="11">
        <v>0</v>
      </c>
      <c r="F79" s="12" t="e">
        <v>#N/A</v>
      </c>
      <c r="G79" s="11">
        <v>24876360</v>
      </c>
      <c r="H79" s="12">
        <v>5.2499999999999998E-2</v>
      </c>
      <c r="I79" s="11">
        <v>53275772.431815833</v>
      </c>
      <c r="J79" s="12">
        <v>4.4999999999999998E-2</v>
      </c>
    </row>
    <row r="80" spans="1:10" x14ac:dyDescent="0.2">
      <c r="A80" t="s">
        <v>632</v>
      </c>
      <c r="B80" t="s">
        <v>633</v>
      </c>
      <c r="C80" s="11">
        <v>0</v>
      </c>
      <c r="D80" s="12" t="e">
        <v>#N/A</v>
      </c>
      <c r="E80" s="11">
        <v>0</v>
      </c>
      <c r="F80" s="12" t="e">
        <v>#N/A</v>
      </c>
      <c r="G80" s="11">
        <v>23240894.492753621</v>
      </c>
      <c r="H80" s="12">
        <v>0.05</v>
      </c>
      <c r="I80" s="11">
        <v>45809899.856895551</v>
      </c>
      <c r="J80" s="12">
        <v>4.2500000000000003E-2</v>
      </c>
    </row>
    <row r="81" spans="1:10" x14ac:dyDescent="0.2">
      <c r="A81" t="s">
        <v>157</v>
      </c>
      <c r="B81" t="s">
        <v>158</v>
      </c>
      <c r="C81" s="11">
        <v>0</v>
      </c>
      <c r="D81" s="12" t="e">
        <v>#N/A</v>
      </c>
      <c r="E81" s="11">
        <v>0</v>
      </c>
      <c r="F81" s="12" t="e">
        <v>#N/A</v>
      </c>
      <c r="G81" s="11">
        <v>23036399.477124184</v>
      </c>
      <c r="H81" s="12">
        <v>5.5E-2</v>
      </c>
      <c r="I81" s="11">
        <v>47629363.617450491</v>
      </c>
      <c r="J81" s="12">
        <v>4.5999999999999999E-2</v>
      </c>
    </row>
    <row r="82" spans="1:10" x14ac:dyDescent="0.2">
      <c r="A82" t="s">
        <v>84</v>
      </c>
      <c r="B82" t="s">
        <v>1020</v>
      </c>
      <c r="C82" s="11">
        <v>0</v>
      </c>
      <c r="D82" s="12" t="e">
        <v>#N/A</v>
      </c>
      <c r="E82" s="11">
        <v>0</v>
      </c>
      <c r="F82" s="12" t="e">
        <v>#N/A</v>
      </c>
      <c r="G82" s="11">
        <v>23010151.111111104</v>
      </c>
      <c r="H82" s="12">
        <v>5.5E-2</v>
      </c>
      <c r="I82" s="11">
        <v>39587094.4452485</v>
      </c>
      <c r="J82" s="12">
        <v>0.05</v>
      </c>
    </row>
    <row r="83" spans="1:10" x14ac:dyDescent="0.2">
      <c r="A83" t="s">
        <v>189</v>
      </c>
      <c r="B83" t="s">
        <v>922</v>
      </c>
      <c r="C83" s="11">
        <v>0</v>
      </c>
      <c r="D83" s="12" t="e">
        <v>#N/A</v>
      </c>
      <c r="E83" s="11">
        <v>0</v>
      </c>
      <c r="F83" s="12" t="e">
        <v>#N/A</v>
      </c>
      <c r="G83" s="11">
        <v>21586110.810810808</v>
      </c>
      <c r="H83" s="12">
        <v>5.8876890593953131E-2</v>
      </c>
      <c r="I83" s="11">
        <v>48733555.035855092</v>
      </c>
      <c r="J83" s="12">
        <v>4.7500000000000001E-2</v>
      </c>
    </row>
    <row r="84" spans="1:10" x14ac:dyDescent="0.2">
      <c r="A84" t="s">
        <v>248</v>
      </c>
      <c r="B84" t="s">
        <v>249</v>
      </c>
      <c r="C84" s="11">
        <v>0</v>
      </c>
      <c r="D84" s="12" t="e">
        <v>#N/A</v>
      </c>
      <c r="E84" s="11">
        <v>0</v>
      </c>
      <c r="F84" s="12" t="e">
        <v>#N/A</v>
      </c>
      <c r="G84" s="11">
        <v>21281462.028985512</v>
      </c>
      <c r="H84" s="12">
        <v>5.2499999999999998E-2</v>
      </c>
      <c r="I84" s="11">
        <v>63829808.149105832</v>
      </c>
      <c r="J84" s="12">
        <v>4.2500000000000003E-2</v>
      </c>
    </row>
    <row r="85" spans="1:10" x14ac:dyDescent="0.2">
      <c r="A85" t="s">
        <v>179</v>
      </c>
      <c r="B85" t="s">
        <v>180</v>
      </c>
      <c r="C85" s="11">
        <v>0</v>
      </c>
      <c r="D85" s="12" t="e">
        <v>#N/A</v>
      </c>
      <c r="E85" s="11">
        <v>0</v>
      </c>
      <c r="F85" s="12" t="e">
        <v>#N/A</v>
      </c>
      <c r="G85" s="11">
        <v>20914540.869565215</v>
      </c>
      <c r="H85" s="12">
        <v>5.2499999999999998E-2</v>
      </c>
      <c r="I85" s="11">
        <v>59395409.339918151</v>
      </c>
      <c r="J85" s="12">
        <v>4.2500000000000003E-2</v>
      </c>
    </row>
    <row r="86" spans="1:10" x14ac:dyDescent="0.2">
      <c r="A86" t="s">
        <v>281</v>
      </c>
      <c r="B86" t="s">
        <v>282</v>
      </c>
      <c r="C86" s="11">
        <v>0</v>
      </c>
      <c r="D86" s="12" t="e">
        <v>#N/A</v>
      </c>
      <c r="E86" s="11">
        <v>0</v>
      </c>
      <c r="F86" s="12" t="e">
        <v>#N/A</v>
      </c>
      <c r="G86" s="11">
        <v>20700621.081081077</v>
      </c>
      <c r="H86" s="12">
        <v>5.2499999999999998E-2</v>
      </c>
      <c r="I86" s="11">
        <v>50994167.360655993</v>
      </c>
      <c r="J86" s="12">
        <v>4.7500000000000001E-2</v>
      </c>
    </row>
    <row r="87" spans="1:10" x14ac:dyDescent="0.2">
      <c r="A87" t="s">
        <v>423</v>
      </c>
      <c r="B87" t="s">
        <v>1445</v>
      </c>
      <c r="C87" s="11">
        <v>0</v>
      </c>
      <c r="D87" s="12" t="e">
        <v>#N/A</v>
      </c>
      <c r="E87" s="11">
        <v>0</v>
      </c>
      <c r="F87" s="12" t="e">
        <v>#N/A</v>
      </c>
      <c r="G87" s="11">
        <v>20665677.880794697</v>
      </c>
      <c r="H87" s="12">
        <v>5.5E-2</v>
      </c>
      <c r="I87" s="11">
        <v>37792623.936660759</v>
      </c>
      <c r="J87" s="12">
        <v>4.9000000000000002E-2</v>
      </c>
    </row>
    <row r="88" spans="1:10" x14ac:dyDescent="0.2">
      <c r="A88" t="s">
        <v>346</v>
      </c>
      <c r="B88" t="s">
        <v>347</v>
      </c>
      <c r="C88" s="11">
        <v>0</v>
      </c>
      <c r="D88" s="12" t="e">
        <v>#N/A</v>
      </c>
      <c r="E88" s="11">
        <v>0</v>
      </c>
      <c r="F88" s="12" t="e">
        <v>#N/A</v>
      </c>
      <c r="G88" s="11">
        <v>17381234.594594594</v>
      </c>
      <c r="H88" s="12">
        <v>5.2499999999999998E-2</v>
      </c>
      <c r="I88" s="11">
        <v>34288904.412840195</v>
      </c>
      <c r="J88" s="12">
        <v>4.4999999999999998E-2</v>
      </c>
    </row>
    <row r="89" spans="1:10" x14ac:dyDescent="0.2">
      <c r="A89" t="s">
        <v>419</v>
      </c>
      <c r="B89" t="s">
        <v>420</v>
      </c>
      <c r="C89" s="11">
        <v>0</v>
      </c>
      <c r="D89" s="12" t="e">
        <v>#N/A</v>
      </c>
      <c r="E89" s="11">
        <v>0</v>
      </c>
      <c r="F89" s="12" t="e">
        <v>#N/A</v>
      </c>
      <c r="G89" s="11">
        <v>17069415.18987342</v>
      </c>
      <c r="H89" s="12">
        <v>5.7500000000000002E-2</v>
      </c>
      <c r="I89" s="11">
        <v>31622358.601961885</v>
      </c>
      <c r="J89" s="12">
        <v>4.9000000000000002E-2</v>
      </c>
    </row>
    <row r="90" spans="1:10" x14ac:dyDescent="0.2">
      <c r="A90" t="s">
        <v>588</v>
      </c>
      <c r="B90" t="s">
        <v>977</v>
      </c>
      <c r="C90" s="11">
        <v>0</v>
      </c>
      <c r="D90" s="12" t="e">
        <v>#N/A</v>
      </c>
      <c r="E90" s="11">
        <v>0</v>
      </c>
      <c r="F90" s="12" t="e">
        <v>#N/A</v>
      </c>
      <c r="G90" s="11">
        <v>16571371.503267976</v>
      </c>
      <c r="H90" s="12">
        <v>5.2499999999999998E-2</v>
      </c>
      <c r="I90" s="11">
        <v>40786863.397223212</v>
      </c>
      <c r="J90" s="12">
        <v>0.05</v>
      </c>
    </row>
    <row r="91" spans="1:10" x14ac:dyDescent="0.2">
      <c r="A91" t="s">
        <v>234</v>
      </c>
      <c r="B91" t="s">
        <v>1086</v>
      </c>
      <c r="C91" s="11">
        <v>0</v>
      </c>
      <c r="D91" s="12" t="e">
        <v>#N/A</v>
      </c>
      <c r="E91" s="11">
        <v>0</v>
      </c>
      <c r="F91" s="12" t="e">
        <v>#N/A</v>
      </c>
      <c r="G91" s="11">
        <v>16296546.666666666</v>
      </c>
      <c r="H91" s="12">
        <v>0.06</v>
      </c>
      <c r="I91" s="11">
        <v>46991429.597902685</v>
      </c>
      <c r="J91" s="12">
        <v>0.05</v>
      </c>
    </row>
    <row r="92" spans="1:10" x14ac:dyDescent="0.2">
      <c r="A92" t="s">
        <v>103</v>
      </c>
      <c r="B92" t="s">
        <v>1424</v>
      </c>
      <c r="C92" s="11">
        <v>0</v>
      </c>
      <c r="D92" s="12" t="e">
        <v>#N/A</v>
      </c>
      <c r="E92" s="11">
        <v>0</v>
      </c>
      <c r="F92" s="12" t="e">
        <v>#N/A</v>
      </c>
      <c r="G92" s="11">
        <v>15460489.510489512</v>
      </c>
      <c r="H92" s="12">
        <v>5.2499999999999998E-2</v>
      </c>
      <c r="I92" s="11">
        <v>41255281.843241602</v>
      </c>
      <c r="J92" s="12">
        <v>4.2500000000000003E-2</v>
      </c>
    </row>
    <row r="93" spans="1:10" x14ac:dyDescent="0.2">
      <c r="A93" t="s">
        <v>561</v>
      </c>
      <c r="B93" t="s">
        <v>1140</v>
      </c>
      <c r="C93" s="11">
        <v>0</v>
      </c>
      <c r="D93" s="12" t="e">
        <v>#N/A</v>
      </c>
      <c r="E93" s="11">
        <v>0</v>
      </c>
      <c r="F93" s="12" t="e">
        <v>#N/A</v>
      </c>
      <c r="G93" s="11">
        <v>14611462.608695649</v>
      </c>
      <c r="H93" s="12">
        <v>4.7500000000000001E-2</v>
      </c>
      <c r="I93" s="11">
        <v>38644388.777222872</v>
      </c>
      <c r="J93" s="12">
        <v>4.1000000000000002E-2</v>
      </c>
    </row>
    <row r="94" spans="1:10" x14ac:dyDescent="0.2">
      <c r="A94" t="s">
        <v>374</v>
      </c>
      <c r="B94" t="s">
        <v>1010</v>
      </c>
      <c r="C94" s="11">
        <v>0</v>
      </c>
      <c r="D94" s="12" t="e">
        <v>#N/A</v>
      </c>
      <c r="E94" s="11">
        <v>0</v>
      </c>
      <c r="F94" s="12" t="e">
        <v>#N/A</v>
      </c>
      <c r="G94" s="11">
        <v>14032062.400000002</v>
      </c>
      <c r="H94" s="12">
        <v>9.2499999999999999E-2</v>
      </c>
      <c r="I94" s="11">
        <v>33650801.236683451</v>
      </c>
      <c r="J94" s="12">
        <v>4.5999999999999999E-2</v>
      </c>
    </row>
    <row r="95" spans="1:10" x14ac:dyDescent="0.2">
      <c r="A95" t="s">
        <v>278</v>
      </c>
      <c r="B95" t="s">
        <v>1046</v>
      </c>
      <c r="C95" s="11">
        <v>0</v>
      </c>
      <c r="D95" s="12" t="e">
        <v>#N/A</v>
      </c>
      <c r="E95" s="11">
        <v>0</v>
      </c>
      <c r="F95" s="12" t="e">
        <v>#N/A</v>
      </c>
      <c r="G95" s="11">
        <v>10702162.403433478</v>
      </c>
      <c r="H95" s="12">
        <v>9.2499999999999999E-2</v>
      </c>
      <c r="I95" s="11">
        <v>16301442.018343326</v>
      </c>
      <c r="J95" s="12">
        <v>0.11</v>
      </c>
    </row>
    <row r="96" spans="1:10" x14ac:dyDescent="0.2">
      <c r="A96" t="s">
        <v>468</v>
      </c>
      <c r="B96" t="s">
        <v>1012</v>
      </c>
      <c r="C96" s="11">
        <v>0</v>
      </c>
      <c r="D96" s="12" t="e">
        <v>#N/A</v>
      </c>
      <c r="E96" s="11">
        <v>0</v>
      </c>
      <c r="F96" s="12" t="e">
        <v>#N/A</v>
      </c>
      <c r="G96" s="11">
        <v>1669700.9442060092</v>
      </c>
      <c r="H96" s="12">
        <v>5.5E-2</v>
      </c>
      <c r="I96" s="11">
        <v>3521793.3404024495</v>
      </c>
      <c r="J96" s="12">
        <v>8.8499999999999995E-2</v>
      </c>
    </row>
    <row r="97" spans="1:10" x14ac:dyDescent="0.2">
      <c r="A97" t="s">
        <v>1220</v>
      </c>
      <c r="B97" t="s">
        <v>876</v>
      </c>
      <c r="C97" s="11">
        <v>0</v>
      </c>
      <c r="D97" s="12" t="e">
        <v>#N/A</v>
      </c>
      <c r="E97" s="11">
        <v>0</v>
      </c>
      <c r="F97" s="12" t="e">
        <v>#N/A</v>
      </c>
      <c r="G97" s="11">
        <v>0</v>
      </c>
      <c r="H97" s="12" t="e">
        <v>#N/A</v>
      </c>
      <c r="I97" s="11" t="e">
        <v>#N/A</v>
      </c>
      <c r="J97" s="12" t="e">
        <v>#N/A</v>
      </c>
    </row>
    <row r="98" spans="1:10" x14ac:dyDescent="0.2">
      <c r="A98" t="s">
        <v>758</v>
      </c>
      <c r="B98" t="s">
        <v>905</v>
      </c>
      <c r="C98" s="11">
        <v>0</v>
      </c>
      <c r="D98" s="12" t="e">
        <v>#N/A</v>
      </c>
      <c r="E98" s="11">
        <v>0</v>
      </c>
      <c r="F98" s="12" t="e">
        <v>#N/A</v>
      </c>
      <c r="G98" s="11">
        <v>0</v>
      </c>
      <c r="H98" s="12" t="e">
        <v>#N/A</v>
      </c>
      <c r="I98" s="11" t="e">
        <v>#N/A</v>
      </c>
      <c r="J98" s="12" t="e">
        <v>#N/A</v>
      </c>
    </row>
    <row r="99" spans="1:10" x14ac:dyDescent="0.2">
      <c r="A99" t="s">
        <v>529</v>
      </c>
      <c r="B99" t="s">
        <v>668</v>
      </c>
      <c r="C99" s="11">
        <v>0</v>
      </c>
      <c r="D99" s="12" t="e">
        <v>#N/A</v>
      </c>
      <c r="E99" s="11">
        <v>0</v>
      </c>
      <c r="F99" s="12" t="e">
        <v>#N/A</v>
      </c>
      <c r="G99" s="11">
        <v>0</v>
      </c>
      <c r="H99" s="12" t="e">
        <v>#N/A</v>
      </c>
      <c r="I99" s="11" t="e">
        <v>#N/A</v>
      </c>
      <c r="J99" s="12" t="e">
        <v>#N/A</v>
      </c>
    </row>
    <row r="100" spans="1:10" x14ac:dyDescent="0.2">
      <c r="A100" t="s">
        <v>434</v>
      </c>
      <c r="B100" t="s">
        <v>435</v>
      </c>
      <c r="C100" s="11">
        <v>0</v>
      </c>
      <c r="D100" s="12" t="e">
        <v>#N/A</v>
      </c>
      <c r="E100" s="11">
        <v>0</v>
      </c>
      <c r="F100" s="12" t="e">
        <v>#N/A</v>
      </c>
      <c r="G100" s="11">
        <v>0</v>
      </c>
      <c r="H100" s="12" t="e">
        <v>#N/A</v>
      </c>
      <c r="I100" s="11" t="e">
        <v>#N/A</v>
      </c>
      <c r="J100" s="12" t="e">
        <v>#N/A</v>
      </c>
    </row>
    <row r="101" spans="1:10" x14ac:dyDescent="0.2">
      <c r="A101" t="s">
        <v>706</v>
      </c>
      <c r="B101" t="s">
        <v>899</v>
      </c>
      <c r="C101" s="11">
        <v>0</v>
      </c>
      <c r="D101" s="12" t="e">
        <v>#N/A</v>
      </c>
      <c r="E101" s="11">
        <v>0</v>
      </c>
      <c r="F101" s="12" t="e">
        <v>#N/A</v>
      </c>
      <c r="G101" s="11">
        <v>0</v>
      </c>
      <c r="H101" s="12" t="e">
        <v>#N/A</v>
      </c>
      <c r="I101" s="11" t="e">
        <v>#N/A</v>
      </c>
      <c r="J101" s="12" t="e">
        <v>#N/A</v>
      </c>
    </row>
    <row r="102" spans="1:10" x14ac:dyDescent="0.2">
      <c r="A102" t="s">
        <v>548</v>
      </c>
      <c r="B102" t="s">
        <v>901</v>
      </c>
      <c r="C102" s="11">
        <v>0</v>
      </c>
      <c r="D102" s="12" t="e">
        <v>#N/A</v>
      </c>
      <c r="E102" s="11">
        <v>0</v>
      </c>
      <c r="F102" s="12" t="e">
        <v>#N/A</v>
      </c>
      <c r="G102" s="11">
        <v>0</v>
      </c>
      <c r="H102" s="12" t="e">
        <v>#N/A</v>
      </c>
      <c r="I102" s="11" t="e">
        <v>#N/A</v>
      </c>
      <c r="J102" s="12" t="e">
        <v>#N/A</v>
      </c>
    </row>
    <row r="103" spans="1:10" x14ac:dyDescent="0.2">
      <c r="A103" t="s">
        <v>1221</v>
      </c>
      <c r="B103" t="s">
        <v>903</v>
      </c>
      <c r="C103" s="11">
        <v>0</v>
      </c>
      <c r="D103" s="12" t="e">
        <v>#N/A</v>
      </c>
      <c r="E103" s="11">
        <v>0</v>
      </c>
      <c r="F103" s="12" t="e">
        <v>#N/A</v>
      </c>
      <c r="G103" s="11">
        <v>0</v>
      </c>
      <c r="H103" s="12" t="e">
        <v>#N/A</v>
      </c>
      <c r="I103" s="11" t="e">
        <v>#N/A</v>
      </c>
      <c r="J103" s="12" t="e">
        <v>#N/A</v>
      </c>
    </row>
    <row r="104" spans="1:10" x14ac:dyDescent="0.2">
      <c r="A104" t="s">
        <v>716</v>
      </c>
      <c r="B104" t="s">
        <v>1069</v>
      </c>
      <c r="C104" s="11">
        <v>0</v>
      </c>
      <c r="D104" s="12" t="e">
        <v>#N/A</v>
      </c>
      <c r="E104" s="11">
        <v>0</v>
      </c>
      <c r="F104" s="12" t="e">
        <v>#N/A</v>
      </c>
      <c r="G104" s="11">
        <v>0</v>
      </c>
      <c r="H104" s="12" t="e">
        <v>#N/A</v>
      </c>
      <c r="I104" s="11" t="e">
        <v>#N/A</v>
      </c>
      <c r="J104" s="12" t="e">
        <v>#N/A</v>
      </c>
    </row>
    <row r="105" spans="1:10" x14ac:dyDescent="0.2">
      <c r="A105" t="s">
        <v>712</v>
      </c>
      <c r="B105" t="s">
        <v>998</v>
      </c>
      <c r="C105" s="11">
        <v>0</v>
      </c>
      <c r="D105" s="12" t="e">
        <v>#N/A</v>
      </c>
      <c r="E105" s="11">
        <v>0</v>
      </c>
      <c r="F105" s="12" t="e">
        <v>#N/A</v>
      </c>
      <c r="G105" s="11">
        <v>0</v>
      </c>
      <c r="H105" s="12" t="e">
        <v>#N/A</v>
      </c>
      <c r="I105" s="11" t="e">
        <v>#N/A</v>
      </c>
      <c r="J105" s="12" t="e">
        <v>#N/A</v>
      </c>
    </row>
    <row r="106" spans="1:10" x14ac:dyDescent="0.2">
      <c r="A106" t="s">
        <v>1223</v>
      </c>
      <c r="B106" t="s">
        <v>1397</v>
      </c>
      <c r="C106" s="11">
        <v>0</v>
      </c>
      <c r="D106" s="12" t="e">
        <v>#N/A</v>
      </c>
      <c r="E106" s="11">
        <v>0</v>
      </c>
      <c r="F106" s="12" t="e">
        <v>#N/A</v>
      </c>
      <c r="G106" s="11">
        <v>0</v>
      </c>
      <c r="H106" s="12" t="e">
        <v>#N/A</v>
      </c>
      <c r="I106" s="11" t="e">
        <v>#N/A</v>
      </c>
      <c r="J106" s="12" t="e">
        <v>#N/A</v>
      </c>
    </row>
    <row r="107" spans="1:10" x14ac:dyDescent="0.2">
      <c r="A107" t="s">
        <v>261</v>
      </c>
      <c r="B107" t="s">
        <v>818</v>
      </c>
      <c r="C107" s="11">
        <v>0</v>
      </c>
      <c r="D107" s="12" t="e">
        <v>#N/A</v>
      </c>
      <c r="E107" s="11">
        <v>0</v>
      </c>
      <c r="F107" s="12" t="e">
        <v>#N/A</v>
      </c>
      <c r="G107" s="11">
        <v>0</v>
      </c>
      <c r="H107" s="12" t="e">
        <v>#N/A</v>
      </c>
      <c r="I107" s="11">
        <v>401300358.95900804</v>
      </c>
      <c r="J107" s="12">
        <v>4.2500000000000003E-2</v>
      </c>
    </row>
    <row r="108" spans="1:10" x14ac:dyDescent="0.2">
      <c r="A108" t="s">
        <v>425</v>
      </c>
      <c r="B108" t="s">
        <v>915</v>
      </c>
      <c r="C108" s="11">
        <v>0</v>
      </c>
      <c r="D108" s="12" t="e">
        <v>#N/A</v>
      </c>
      <c r="E108" s="11">
        <v>0</v>
      </c>
      <c r="F108" s="12" t="e">
        <v>#N/A</v>
      </c>
      <c r="G108" s="11">
        <v>0</v>
      </c>
      <c r="H108" s="12" t="e">
        <v>#N/A</v>
      </c>
      <c r="I108" s="11">
        <v>297002787.87314302</v>
      </c>
      <c r="J108" s="12">
        <v>3.9E-2</v>
      </c>
    </row>
    <row r="109" spans="1:10" x14ac:dyDescent="0.2">
      <c r="A109" t="s">
        <v>389</v>
      </c>
      <c r="B109" t="s">
        <v>918</v>
      </c>
      <c r="C109" s="11">
        <v>0</v>
      </c>
      <c r="D109" s="12" t="e">
        <v>#N/A</v>
      </c>
      <c r="E109" s="11">
        <v>0</v>
      </c>
      <c r="F109" s="12" t="e">
        <v>#N/A</v>
      </c>
      <c r="G109" s="11">
        <v>0</v>
      </c>
      <c r="H109" s="12" t="e">
        <v>#N/A</v>
      </c>
      <c r="I109" s="11">
        <v>287410488.27519125</v>
      </c>
      <c r="J109" s="12">
        <v>3.9E-2</v>
      </c>
    </row>
    <row r="110" spans="1:10" x14ac:dyDescent="0.2">
      <c r="A110" t="s">
        <v>291</v>
      </c>
      <c r="B110" t="s">
        <v>292</v>
      </c>
      <c r="C110" s="11">
        <v>0</v>
      </c>
      <c r="D110" s="12" t="e">
        <v>#N/A</v>
      </c>
      <c r="E110" s="11">
        <v>0</v>
      </c>
      <c r="F110" s="12" t="e">
        <v>#N/A</v>
      </c>
      <c r="G110" s="11">
        <v>0</v>
      </c>
      <c r="H110" s="12" t="e">
        <v>#N/A</v>
      </c>
      <c r="I110" s="11">
        <v>279460033.31593186</v>
      </c>
      <c r="J110" s="12">
        <v>4.2500000000000003E-2</v>
      </c>
    </row>
    <row r="111" spans="1:10" x14ac:dyDescent="0.2">
      <c r="A111" t="s">
        <v>655</v>
      </c>
      <c r="B111" t="s">
        <v>656</v>
      </c>
      <c r="C111" s="11">
        <v>0</v>
      </c>
      <c r="D111" s="12" t="e">
        <v>#N/A</v>
      </c>
      <c r="E111" s="11">
        <v>0</v>
      </c>
      <c r="F111" s="12" t="e">
        <v>#N/A</v>
      </c>
      <c r="G111" s="11">
        <v>0</v>
      </c>
      <c r="H111" s="12" t="e">
        <v>#N/A</v>
      </c>
      <c r="I111" s="11">
        <v>272256278.02339619</v>
      </c>
      <c r="J111" s="12">
        <v>3.9E-2</v>
      </c>
    </row>
    <row r="112" spans="1:10" x14ac:dyDescent="0.2">
      <c r="A112" t="s">
        <v>31</v>
      </c>
      <c r="B112" t="s">
        <v>32</v>
      </c>
      <c r="C112" s="11">
        <v>0</v>
      </c>
      <c r="D112" s="12" t="e">
        <v>#N/A</v>
      </c>
      <c r="E112" s="11">
        <v>0</v>
      </c>
      <c r="F112" s="12" t="e">
        <v>#N/A</v>
      </c>
      <c r="G112" s="11">
        <v>0</v>
      </c>
      <c r="H112" s="12" t="e">
        <v>#N/A</v>
      </c>
      <c r="I112" s="11">
        <v>271575415.97311997</v>
      </c>
      <c r="J112" s="12">
        <v>4.2500000000000003E-2</v>
      </c>
    </row>
    <row r="113" spans="1:10" x14ac:dyDescent="0.2">
      <c r="A113" t="s">
        <v>53</v>
      </c>
      <c r="B113" t="s">
        <v>54</v>
      </c>
      <c r="C113" s="11">
        <v>0</v>
      </c>
      <c r="D113" s="12" t="e">
        <v>#N/A</v>
      </c>
      <c r="E113" s="11">
        <v>0</v>
      </c>
      <c r="F113" s="12" t="e">
        <v>#N/A</v>
      </c>
      <c r="G113" s="11">
        <v>0</v>
      </c>
      <c r="H113" s="12" t="e">
        <v>#N/A</v>
      </c>
      <c r="I113" s="11">
        <v>269295806.43111831</v>
      </c>
      <c r="J113" s="12">
        <v>4.1500000000000002E-2</v>
      </c>
    </row>
    <row r="114" spans="1:10" x14ac:dyDescent="0.2">
      <c r="A114" t="s">
        <v>530</v>
      </c>
      <c r="B114" t="s">
        <v>1433</v>
      </c>
      <c r="C114" s="11">
        <v>0</v>
      </c>
      <c r="D114" s="12" t="e">
        <v>#N/A</v>
      </c>
      <c r="E114" s="11">
        <v>0</v>
      </c>
      <c r="F114" s="12" t="e">
        <v>#N/A</v>
      </c>
      <c r="G114" s="11">
        <v>0</v>
      </c>
      <c r="H114" s="12" t="e">
        <v>#N/A</v>
      </c>
      <c r="I114" s="11">
        <v>267753662.73580277</v>
      </c>
      <c r="J114" s="12">
        <v>4.3999999999999997E-2</v>
      </c>
    </row>
    <row r="115" spans="1:10" x14ac:dyDescent="0.2">
      <c r="A115" t="s">
        <v>540</v>
      </c>
      <c r="B115" t="s">
        <v>541</v>
      </c>
      <c r="C115" s="11">
        <v>0</v>
      </c>
      <c r="D115" s="12" t="e">
        <v>#N/A</v>
      </c>
      <c r="E115" s="11">
        <v>0</v>
      </c>
      <c r="F115" s="12" t="e">
        <v>#N/A</v>
      </c>
      <c r="G115" s="11">
        <v>0</v>
      </c>
      <c r="H115" s="12" t="e">
        <v>#N/A</v>
      </c>
      <c r="I115" s="11">
        <v>253831279.61733946</v>
      </c>
      <c r="J115" s="12">
        <v>3.7999999999999999E-2</v>
      </c>
    </row>
    <row r="116" spans="1:10" x14ac:dyDescent="0.2">
      <c r="A116" t="s">
        <v>654</v>
      </c>
      <c r="B116" t="s">
        <v>1428</v>
      </c>
      <c r="C116" s="11">
        <v>0</v>
      </c>
      <c r="D116" s="12" t="e">
        <v>#N/A</v>
      </c>
      <c r="E116" s="11">
        <v>0</v>
      </c>
      <c r="F116" s="12" t="e">
        <v>#N/A</v>
      </c>
      <c r="G116" s="11">
        <v>0</v>
      </c>
      <c r="H116" s="12" t="e">
        <v>#N/A</v>
      </c>
      <c r="I116" s="11">
        <v>252912141.09815559</v>
      </c>
      <c r="J116" s="12">
        <v>4.3499999999999997E-2</v>
      </c>
    </row>
    <row r="117" spans="1:10" x14ac:dyDescent="0.2">
      <c r="A117" t="s">
        <v>546</v>
      </c>
      <c r="B117" t="s">
        <v>547</v>
      </c>
      <c r="C117" s="11">
        <v>0</v>
      </c>
      <c r="D117" s="12" t="e">
        <v>#N/A</v>
      </c>
      <c r="E117" s="11">
        <v>0</v>
      </c>
      <c r="F117" s="12" t="e">
        <v>#N/A</v>
      </c>
      <c r="G117" s="11">
        <v>0</v>
      </c>
      <c r="H117" s="12" t="e">
        <v>#N/A</v>
      </c>
      <c r="I117" s="11">
        <v>215127004.68046385</v>
      </c>
      <c r="J117" s="12">
        <v>0.04</v>
      </c>
    </row>
    <row r="118" spans="1:10" x14ac:dyDescent="0.2">
      <c r="A118" t="s">
        <v>184</v>
      </c>
      <c r="B118" t="s">
        <v>185</v>
      </c>
      <c r="C118" s="11">
        <v>0</v>
      </c>
      <c r="D118" s="12" t="e">
        <v>#N/A</v>
      </c>
      <c r="E118" s="11">
        <v>0</v>
      </c>
      <c r="F118" s="12" t="e">
        <v>#N/A</v>
      </c>
      <c r="G118" s="11">
        <v>0</v>
      </c>
      <c r="H118" s="12" t="e">
        <v>#N/A</v>
      </c>
      <c r="I118" s="11">
        <v>212713036.36819893</v>
      </c>
      <c r="J118" s="12">
        <v>0.04</v>
      </c>
    </row>
    <row r="119" spans="1:10" x14ac:dyDescent="0.2">
      <c r="A119" t="s">
        <v>315</v>
      </c>
      <c r="B119" t="s">
        <v>878</v>
      </c>
      <c r="C119" s="11">
        <v>0</v>
      </c>
      <c r="D119" s="12" t="e">
        <v>#N/A</v>
      </c>
      <c r="E119" s="11">
        <v>0</v>
      </c>
      <c r="F119" s="12" t="e">
        <v>#N/A</v>
      </c>
      <c r="G119" s="11">
        <v>0</v>
      </c>
      <c r="H119" s="12" t="e">
        <v>#N/A</v>
      </c>
      <c r="I119" s="11">
        <v>210771307.95013621</v>
      </c>
      <c r="J119" s="12">
        <v>4.1500000000000002E-2</v>
      </c>
    </row>
    <row r="120" spans="1:10" x14ac:dyDescent="0.2">
      <c r="A120" t="s">
        <v>407</v>
      </c>
      <c r="B120" t="s">
        <v>408</v>
      </c>
      <c r="C120" s="11">
        <v>0</v>
      </c>
      <c r="D120" s="12" t="e">
        <v>#N/A</v>
      </c>
      <c r="E120" s="11">
        <v>0</v>
      </c>
      <c r="F120" s="12" t="e">
        <v>#N/A</v>
      </c>
      <c r="G120" s="11">
        <v>0</v>
      </c>
      <c r="H120" s="12" t="e">
        <v>#N/A</v>
      </c>
      <c r="I120" s="11">
        <v>209952483.87737083</v>
      </c>
      <c r="J120" s="12">
        <v>4.3999999999999997E-2</v>
      </c>
    </row>
    <row r="121" spans="1:10" x14ac:dyDescent="0.2">
      <c r="A121" t="s">
        <v>22</v>
      </c>
      <c r="B121" t="s">
        <v>23</v>
      </c>
      <c r="C121" s="11">
        <v>0</v>
      </c>
      <c r="D121" s="12" t="e">
        <v>#N/A</v>
      </c>
      <c r="E121" s="11">
        <v>0</v>
      </c>
      <c r="F121" s="12" t="e">
        <v>#N/A</v>
      </c>
      <c r="G121" s="11">
        <v>0</v>
      </c>
      <c r="H121" s="12" t="e">
        <v>#N/A</v>
      </c>
      <c r="I121" s="11">
        <v>207436731.31278607</v>
      </c>
      <c r="J121" s="12">
        <v>3.9E-2</v>
      </c>
    </row>
    <row r="122" spans="1:10" x14ac:dyDescent="0.2">
      <c r="A122" t="s">
        <v>369</v>
      </c>
      <c r="B122" t="s">
        <v>370</v>
      </c>
      <c r="C122" s="11">
        <v>0</v>
      </c>
      <c r="D122" s="12" t="e">
        <v>#N/A</v>
      </c>
      <c r="E122" s="11">
        <v>0</v>
      </c>
      <c r="F122" s="12" t="e">
        <v>#N/A</v>
      </c>
      <c r="G122" s="11">
        <v>0</v>
      </c>
      <c r="H122" s="12" t="e">
        <v>#N/A</v>
      </c>
      <c r="I122" s="11">
        <v>193893693.92772937</v>
      </c>
      <c r="J122" s="12">
        <v>4.1000000000000002E-2</v>
      </c>
    </row>
    <row r="123" spans="1:10" x14ac:dyDescent="0.2">
      <c r="A123" t="s">
        <v>511</v>
      </c>
      <c r="B123" t="s">
        <v>512</v>
      </c>
      <c r="C123" s="11">
        <v>0</v>
      </c>
      <c r="D123" s="12" t="e">
        <v>#N/A</v>
      </c>
      <c r="E123" s="11">
        <v>0</v>
      </c>
      <c r="F123" s="12" t="e">
        <v>#N/A</v>
      </c>
      <c r="G123" s="11">
        <v>0</v>
      </c>
      <c r="H123" s="12" t="e">
        <v>#N/A</v>
      </c>
      <c r="I123" s="11">
        <v>193842967.91063547</v>
      </c>
      <c r="J123" s="12">
        <v>4.2500000000000003E-2</v>
      </c>
    </row>
    <row r="124" spans="1:10" x14ac:dyDescent="0.2">
      <c r="A124" t="s">
        <v>490</v>
      </c>
      <c r="B124" t="s">
        <v>491</v>
      </c>
      <c r="C124" s="11">
        <v>0</v>
      </c>
      <c r="D124" s="12" t="e">
        <v>#N/A</v>
      </c>
      <c r="E124" s="11">
        <v>0</v>
      </c>
      <c r="F124" s="12" t="e">
        <v>#N/A</v>
      </c>
      <c r="G124" s="11">
        <v>0</v>
      </c>
      <c r="H124" s="12" t="e">
        <v>#N/A</v>
      </c>
      <c r="I124" s="11">
        <v>192055746.01532769</v>
      </c>
      <c r="J124" s="12">
        <v>0.04</v>
      </c>
    </row>
    <row r="125" spans="1:10" x14ac:dyDescent="0.2">
      <c r="A125" t="s">
        <v>263</v>
      </c>
      <c r="B125" t="s">
        <v>264</v>
      </c>
      <c r="C125" s="11">
        <v>0</v>
      </c>
      <c r="D125" s="12" t="e">
        <v>#N/A</v>
      </c>
      <c r="E125" s="11">
        <v>0</v>
      </c>
      <c r="F125" s="12" t="e">
        <v>#N/A</v>
      </c>
      <c r="G125" s="11">
        <v>0</v>
      </c>
      <c r="H125" s="12" t="e">
        <v>#N/A</v>
      </c>
      <c r="I125" s="11">
        <v>187183936.09558976</v>
      </c>
      <c r="J125" s="12">
        <v>4.7500000000000001E-2</v>
      </c>
    </row>
    <row r="126" spans="1:10" x14ac:dyDescent="0.2">
      <c r="A126" t="s">
        <v>50</v>
      </c>
      <c r="B126" t="s">
        <v>51</v>
      </c>
      <c r="C126" s="11">
        <v>0</v>
      </c>
      <c r="D126" s="12" t="e">
        <v>#N/A</v>
      </c>
      <c r="E126" s="11">
        <v>0</v>
      </c>
      <c r="F126" s="12" t="e">
        <v>#N/A</v>
      </c>
      <c r="G126" s="11">
        <v>0</v>
      </c>
      <c r="H126" s="12" t="e">
        <v>#N/A</v>
      </c>
      <c r="I126" s="11">
        <v>182406054.37826031</v>
      </c>
      <c r="J126" s="12">
        <v>4.3499999999999997E-2</v>
      </c>
    </row>
    <row r="127" spans="1:10" x14ac:dyDescent="0.2">
      <c r="A127" t="s">
        <v>508</v>
      </c>
      <c r="B127" t="s">
        <v>509</v>
      </c>
      <c r="C127" s="11">
        <v>0</v>
      </c>
      <c r="D127" s="12" t="e">
        <v>#N/A</v>
      </c>
      <c r="E127" s="11">
        <v>0</v>
      </c>
      <c r="F127" s="12" t="e">
        <v>#N/A</v>
      </c>
      <c r="G127" s="11">
        <v>0</v>
      </c>
      <c r="H127" s="12" t="e">
        <v>#N/A</v>
      </c>
      <c r="I127" s="11">
        <v>175235744.78205886</v>
      </c>
      <c r="J127" s="12">
        <v>4.2999999999999997E-2</v>
      </c>
    </row>
    <row r="128" spans="1:10" x14ac:dyDescent="0.2">
      <c r="A128" t="s">
        <v>65</v>
      </c>
      <c r="B128" t="s">
        <v>950</v>
      </c>
      <c r="C128" s="11">
        <v>0</v>
      </c>
      <c r="D128" s="12" t="e">
        <v>#N/A</v>
      </c>
      <c r="E128" s="11">
        <v>0</v>
      </c>
      <c r="F128" s="12" t="e">
        <v>#N/A</v>
      </c>
      <c r="G128" s="11">
        <v>0</v>
      </c>
      <c r="H128" s="12" t="e">
        <v>#N/A</v>
      </c>
      <c r="I128" s="11">
        <v>174607344.44013342</v>
      </c>
      <c r="J128" s="12">
        <v>4.2500000000000003E-2</v>
      </c>
    </row>
    <row r="129" spans="1:10" x14ac:dyDescent="0.2">
      <c r="A129" t="s">
        <v>162</v>
      </c>
      <c r="B129" t="s">
        <v>163</v>
      </c>
      <c r="C129" s="11">
        <v>0</v>
      </c>
      <c r="D129" s="12" t="e">
        <v>#N/A</v>
      </c>
      <c r="E129" s="11">
        <v>0</v>
      </c>
      <c r="F129" s="12" t="e">
        <v>#N/A</v>
      </c>
      <c r="G129" s="11">
        <v>0</v>
      </c>
      <c r="H129" s="12" t="e">
        <v>#N/A</v>
      </c>
      <c r="I129" s="11">
        <v>173750207.97051695</v>
      </c>
      <c r="J129" s="12">
        <v>4.1000000000000002E-2</v>
      </c>
    </row>
    <row r="130" spans="1:10" x14ac:dyDescent="0.2">
      <c r="A130" t="s">
        <v>312</v>
      </c>
      <c r="B130" t="s">
        <v>912</v>
      </c>
      <c r="C130" s="11">
        <v>0</v>
      </c>
      <c r="D130" s="12" t="e">
        <v>#N/A</v>
      </c>
      <c r="E130" s="11">
        <v>0</v>
      </c>
      <c r="F130" s="12" t="e">
        <v>#N/A</v>
      </c>
      <c r="G130" s="11">
        <v>0</v>
      </c>
      <c r="H130" s="12" t="e">
        <v>#N/A</v>
      </c>
      <c r="I130" s="11">
        <v>171506622.87920856</v>
      </c>
      <c r="J130" s="12">
        <v>0.05</v>
      </c>
    </row>
    <row r="131" spans="1:10" x14ac:dyDescent="0.2">
      <c r="A131" t="s">
        <v>364</v>
      </c>
      <c r="B131" t="s">
        <v>1435</v>
      </c>
      <c r="C131" s="11">
        <v>0</v>
      </c>
      <c r="D131" s="12" t="e">
        <v>#N/A</v>
      </c>
      <c r="E131" s="11">
        <v>0</v>
      </c>
      <c r="F131" s="12" t="e">
        <v>#N/A</v>
      </c>
      <c r="G131" s="11">
        <v>0</v>
      </c>
      <c r="H131" s="12" t="e">
        <v>#N/A</v>
      </c>
      <c r="I131" s="11">
        <v>170735021.12332708</v>
      </c>
      <c r="J131" s="12">
        <v>4.2500000000000003E-2</v>
      </c>
    </row>
    <row r="132" spans="1:10" x14ac:dyDescent="0.2">
      <c r="A132" t="s">
        <v>413</v>
      </c>
      <c r="B132" t="s">
        <v>414</v>
      </c>
      <c r="C132" s="11">
        <v>0</v>
      </c>
      <c r="D132" s="12" t="e">
        <v>#N/A</v>
      </c>
      <c r="E132" s="11">
        <v>0</v>
      </c>
      <c r="F132" s="12" t="e">
        <v>#N/A</v>
      </c>
      <c r="G132" s="11">
        <v>0</v>
      </c>
      <c r="H132" s="12" t="e">
        <v>#N/A</v>
      </c>
      <c r="I132" s="11">
        <v>165359987.71987823</v>
      </c>
      <c r="J132" s="12">
        <v>4.4999999999999998E-2</v>
      </c>
    </row>
    <row r="133" spans="1:10" x14ac:dyDescent="0.2">
      <c r="A133" t="s">
        <v>613</v>
      </c>
      <c r="B133" t="s">
        <v>614</v>
      </c>
      <c r="C133" s="11">
        <v>0</v>
      </c>
      <c r="D133" s="12" t="e">
        <v>#N/A</v>
      </c>
      <c r="E133" s="11">
        <v>0</v>
      </c>
      <c r="F133" s="12" t="e">
        <v>#N/A</v>
      </c>
      <c r="G133" s="11">
        <v>0</v>
      </c>
      <c r="H133" s="12" t="e">
        <v>#N/A</v>
      </c>
      <c r="I133" s="11">
        <v>164907670.2255007</v>
      </c>
      <c r="J133" s="12">
        <v>4.1000000000000002E-2</v>
      </c>
    </row>
    <row r="134" spans="1:10" x14ac:dyDescent="0.2">
      <c r="A134" t="s">
        <v>585</v>
      </c>
      <c r="B134" t="s">
        <v>874</v>
      </c>
      <c r="C134" s="11">
        <v>0</v>
      </c>
      <c r="D134" s="12" t="e">
        <v>#N/A</v>
      </c>
      <c r="E134" s="11">
        <v>0</v>
      </c>
      <c r="F134" s="12" t="e">
        <v>#N/A</v>
      </c>
      <c r="G134" s="11">
        <v>0</v>
      </c>
      <c r="H134" s="12" t="e">
        <v>#N/A</v>
      </c>
      <c r="I134" s="11">
        <v>163285350.98023695</v>
      </c>
      <c r="J134" s="12">
        <v>4.1500000000000002E-2</v>
      </c>
    </row>
    <row r="135" spans="1:10" x14ac:dyDescent="0.2">
      <c r="A135" t="s">
        <v>436</v>
      </c>
      <c r="B135" t="s">
        <v>437</v>
      </c>
      <c r="C135" s="11">
        <v>0</v>
      </c>
      <c r="D135" s="12" t="e">
        <v>#N/A</v>
      </c>
      <c r="E135" s="11">
        <v>0</v>
      </c>
      <c r="F135" s="12" t="e">
        <v>#N/A</v>
      </c>
      <c r="G135" s="11">
        <v>0</v>
      </c>
      <c r="H135" s="12" t="e">
        <v>#N/A</v>
      </c>
      <c r="I135" s="11">
        <v>162605521.59818134</v>
      </c>
      <c r="J135" s="12">
        <v>0.04</v>
      </c>
    </row>
    <row r="136" spans="1:10" x14ac:dyDescent="0.2">
      <c r="A136" t="s">
        <v>219</v>
      </c>
      <c r="B136" t="s">
        <v>220</v>
      </c>
      <c r="C136" s="11">
        <v>0</v>
      </c>
      <c r="D136" s="12" t="e">
        <v>#N/A</v>
      </c>
      <c r="E136" s="11">
        <v>0</v>
      </c>
      <c r="F136" s="12" t="e">
        <v>#N/A</v>
      </c>
      <c r="G136" s="11">
        <v>0</v>
      </c>
      <c r="H136" s="12" t="e">
        <v>#N/A</v>
      </c>
      <c r="I136" s="11">
        <v>162316558.30655643</v>
      </c>
      <c r="J136" s="12">
        <v>4.3999999999999997E-2</v>
      </c>
    </row>
    <row r="137" spans="1:10" x14ac:dyDescent="0.2">
      <c r="A137" t="s">
        <v>19</v>
      </c>
      <c r="B137" t="s">
        <v>20</v>
      </c>
      <c r="C137" s="11">
        <v>0</v>
      </c>
      <c r="D137" s="12" t="e">
        <v>#N/A</v>
      </c>
      <c r="E137" s="11">
        <v>0</v>
      </c>
      <c r="F137" s="12" t="e">
        <v>#N/A</v>
      </c>
      <c r="G137" s="11">
        <v>0</v>
      </c>
      <c r="H137" s="12" t="e">
        <v>#N/A</v>
      </c>
      <c r="I137" s="11">
        <v>160368217.94961417</v>
      </c>
      <c r="J137" s="12">
        <v>0.04</v>
      </c>
    </row>
    <row r="138" spans="1:10" x14ac:dyDescent="0.2">
      <c r="A138" t="s">
        <v>612</v>
      </c>
      <c r="B138" t="s">
        <v>1439</v>
      </c>
      <c r="C138" s="11">
        <v>0</v>
      </c>
      <c r="D138" s="12" t="e">
        <v>#N/A</v>
      </c>
      <c r="E138" s="11">
        <v>0</v>
      </c>
      <c r="F138" s="12" t="e">
        <v>#N/A</v>
      </c>
      <c r="G138" s="11">
        <v>0</v>
      </c>
      <c r="H138" s="12" t="e">
        <v>#N/A</v>
      </c>
      <c r="I138" s="11">
        <v>156962595.65999207</v>
      </c>
      <c r="J138" s="12">
        <v>4.4999999999999998E-2</v>
      </c>
    </row>
    <row r="139" spans="1:10" x14ac:dyDescent="0.2">
      <c r="A139" t="s">
        <v>593</v>
      </c>
      <c r="B139" t="s">
        <v>1122</v>
      </c>
      <c r="C139" s="11">
        <v>0</v>
      </c>
      <c r="D139" s="12" t="e">
        <v>#N/A</v>
      </c>
      <c r="E139" s="11">
        <v>0</v>
      </c>
      <c r="F139" s="12" t="e">
        <v>#N/A</v>
      </c>
      <c r="G139" s="11">
        <v>0</v>
      </c>
      <c r="H139" s="12" t="e">
        <v>#N/A</v>
      </c>
      <c r="I139" s="11">
        <v>154929442.10311279</v>
      </c>
      <c r="J139" s="12">
        <v>4.3999999999999997E-2</v>
      </c>
    </row>
    <row r="140" spans="1:10" x14ac:dyDescent="0.2">
      <c r="A140" t="s">
        <v>56</v>
      </c>
      <c r="B140" t="s">
        <v>1003</v>
      </c>
      <c r="C140" s="11">
        <v>0</v>
      </c>
      <c r="D140" s="12" t="e">
        <v>#N/A</v>
      </c>
      <c r="E140" s="11">
        <v>0</v>
      </c>
      <c r="F140" s="12" t="e">
        <v>#N/A</v>
      </c>
      <c r="G140" s="11">
        <v>0</v>
      </c>
      <c r="H140" s="12" t="e">
        <v>#N/A</v>
      </c>
      <c r="I140" s="11">
        <v>154240594.62353435</v>
      </c>
      <c r="J140" s="12">
        <v>4.4999999999999998E-2</v>
      </c>
    </row>
    <row r="141" spans="1:10" x14ac:dyDescent="0.2">
      <c r="A141" t="s">
        <v>578</v>
      </c>
      <c r="B141" t="s">
        <v>1027</v>
      </c>
      <c r="C141" s="11">
        <v>0</v>
      </c>
      <c r="D141" s="12" t="e">
        <v>#N/A</v>
      </c>
      <c r="E141" s="11">
        <v>0</v>
      </c>
      <c r="F141" s="12" t="e">
        <v>#N/A</v>
      </c>
      <c r="G141" s="11">
        <v>0</v>
      </c>
      <c r="H141" s="12" t="e">
        <v>#N/A</v>
      </c>
      <c r="I141" s="11">
        <v>152563771.35619435</v>
      </c>
      <c r="J141" s="12">
        <v>4.5999999999999999E-2</v>
      </c>
    </row>
    <row r="142" spans="1:10" x14ac:dyDescent="0.2">
      <c r="A142" t="s">
        <v>619</v>
      </c>
      <c r="B142" t="s">
        <v>620</v>
      </c>
      <c r="C142" s="11">
        <v>0</v>
      </c>
      <c r="D142" s="12" t="e">
        <v>#N/A</v>
      </c>
      <c r="E142" s="11">
        <v>0</v>
      </c>
      <c r="F142" s="12" t="e">
        <v>#N/A</v>
      </c>
      <c r="G142" s="11">
        <v>0</v>
      </c>
      <c r="H142" s="12" t="e">
        <v>#N/A</v>
      </c>
      <c r="I142" s="11">
        <v>148591297.5947068</v>
      </c>
      <c r="J142" s="12">
        <v>4.1000000000000002E-2</v>
      </c>
    </row>
    <row r="143" spans="1:10" x14ac:dyDescent="0.2">
      <c r="A143" t="s">
        <v>410</v>
      </c>
      <c r="B143" t="s">
        <v>411</v>
      </c>
      <c r="C143" s="11">
        <v>0</v>
      </c>
      <c r="D143" s="12" t="e">
        <v>#N/A</v>
      </c>
      <c r="E143" s="11">
        <v>0</v>
      </c>
      <c r="F143" s="12" t="e">
        <v>#N/A</v>
      </c>
      <c r="G143" s="11">
        <v>0</v>
      </c>
      <c r="H143" s="12" t="e">
        <v>#N/A</v>
      </c>
      <c r="I143" s="11">
        <v>148340216.35621086</v>
      </c>
      <c r="J143" s="12">
        <v>4.3999999999999997E-2</v>
      </c>
    </row>
    <row r="144" spans="1:10" x14ac:dyDescent="0.2">
      <c r="A144" t="s">
        <v>586</v>
      </c>
      <c r="B144" t="s">
        <v>1040</v>
      </c>
      <c r="C144" s="11">
        <v>0</v>
      </c>
      <c r="D144" s="12" t="e">
        <v>#N/A</v>
      </c>
      <c r="E144" s="11">
        <v>0</v>
      </c>
      <c r="F144" s="12" t="e">
        <v>#N/A</v>
      </c>
      <c r="G144" s="11">
        <v>0</v>
      </c>
      <c r="H144" s="12" t="e">
        <v>#N/A</v>
      </c>
      <c r="I144" s="11">
        <v>147922942.64850742</v>
      </c>
      <c r="J144" s="12">
        <v>4.3499999999999997E-2</v>
      </c>
    </row>
    <row r="145" spans="1:10" x14ac:dyDescent="0.2">
      <c r="A145" t="s">
        <v>538</v>
      </c>
      <c r="B145" t="s">
        <v>539</v>
      </c>
      <c r="C145" s="11">
        <v>0</v>
      </c>
      <c r="D145" s="12" t="e">
        <v>#N/A</v>
      </c>
      <c r="E145" s="11">
        <v>0</v>
      </c>
      <c r="F145" s="12" t="e">
        <v>#N/A</v>
      </c>
      <c r="G145" s="11">
        <v>0</v>
      </c>
      <c r="H145" s="12" t="e">
        <v>#N/A</v>
      </c>
      <c r="I145" s="11">
        <v>145784803.63746899</v>
      </c>
      <c r="J145" s="12">
        <v>4.3499999999999997E-2</v>
      </c>
    </row>
    <row r="146" spans="1:10" x14ac:dyDescent="0.2">
      <c r="A146" t="s">
        <v>493</v>
      </c>
      <c r="B146" t="s">
        <v>494</v>
      </c>
      <c r="C146" s="11">
        <v>0</v>
      </c>
      <c r="D146" s="12" t="e">
        <v>#N/A</v>
      </c>
      <c r="E146" s="11">
        <v>0</v>
      </c>
      <c r="F146" s="12" t="e">
        <v>#N/A</v>
      </c>
      <c r="G146" s="11">
        <v>0</v>
      </c>
      <c r="H146" s="12" t="e">
        <v>#N/A</v>
      </c>
      <c r="I146" s="11">
        <v>144462657.80653256</v>
      </c>
      <c r="J146" s="12">
        <v>4.3499999999999997E-2</v>
      </c>
    </row>
    <row r="147" spans="1:10" x14ac:dyDescent="0.2">
      <c r="A147" t="s">
        <v>438</v>
      </c>
      <c r="B147" t="s">
        <v>439</v>
      </c>
      <c r="C147" s="11">
        <v>0</v>
      </c>
      <c r="D147" s="12" t="e">
        <v>#N/A</v>
      </c>
      <c r="E147" s="11">
        <v>0</v>
      </c>
      <c r="F147" s="12" t="e">
        <v>#N/A</v>
      </c>
      <c r="G147" s="11">
        <v>0</v>
      </c>
      <c r="H147" s="12" t="e">
        <v>#N/A</v>
      </c>
      <c r="I147" s="11">
        <v>139921545.84252873</v>
      </c>
      <c r="J147" s="12">
        <v>4.3499999999999997E-2</v>
      </c>
    </row>
    <row r="148" spans="1:10" x14ac:dyDescent="0.2">
      <c r="A148" t="s">
        <v>478</v>
      </c>
      <c r="B148" t="s">
        <v>479</v>
      </c>
      <c r="C148" s="11">
        <v>0</v>
      </c>
      <c r="D148" s="12" t="e">
        <v>#N/A</v>
      </c>
      <c r="E148" s="11">
        <v>0</v>
      </c>
      <c r="F148" s="12" t="e">
        <v>#N/A</v>
      </c>
      <c r="G148" s="11">
        <v>0</v>
      </c>
      <c r="H148" s="12" t="e">
        <v>#N/A</v>
      </c>
      <c r="I148" s="11">
        <v>139790184.541132</v>
      </c>
      <c r="J148" s="12">
        <v>4.3499999999999997E-2</v>
      </c>
    </row>
    <row r="149" spans="1:10" x14ac:dyDescent="0.2">
      <c r="A149" t="s">
        <v>12</v>
      </c>
      <c r="B149" t="s">
        <v>13</v>
      </c>
      <c r="C149" s="11">
        <v>0</v>
      </c>
      <c r="D149" s="12" t="e">
        <v>#N/A</v>
      </c>
      <c r="E149" s="11">
        <v>0</v>
      </c>
      <c r="F149" s="12" t="e">
        <v>#N/A</v>
      </c>
      <c r="G149" s="11">
        <v>0</v>
      </c>
      <c r="H149" s="12" t="e">
        <v>#N/A</v>
      </c>
      <c r="I149" s="11">
        <v>138644885.30284703</v>
      </c>
      <c r="J149" s="12">
        <v>0.04</v>
      </c>
    </row>
    <row r="150" spans="1:10" x14ac:dyDescent="0.2">
      <c r="A150" t="s">
        <v>465</v>
      </c>
      <c r="B150" t="s">
        <v>466</v>
      </c>
      <c r="C150" s="11">
        <v>0</v>
      </c>
      <c r="D150" s="12" t="e">
        <v>#N/A</v>
      </c>
      <c r="E150" s="11">
        <v>0</v>
      </c>
      <c r="F150" s="12" t="e">
        <v>#N/A</v>
      </c>
      <c r="G150" s="11">
        <v>0</v>
      </c>
      <c r="H150" s="12" t="e">
        <v>#N/A</v>
      </c>
      <c r="I150" s="11">
        <v>137182752.52591905</v>
      </c>
      <c r="J150" s="12">
        <v>4.5499999999999999E-2</v>
      </c>
    </row>
    <row r="151" spans="1:10" x14ac:dyDescent="0.2">
      <c r="A151" t="s">
        <v>202</v>
      </c>
      <c r="B151" t="s">
        <v>203</v>
      </c>
      <c r="C151" s="11">
        <v>0</v>
      </c>
      <c r="D151" s="12" t="e">
        <v>#N/A</v>
      </c>
      <c r="E151" s="11">
        <v>0</v>
      </c>
      <c r="F151" s="12" t="e">
        <v>#N/A</v>
      </c>
      <c r="G151" s="11">
        <v>0</v>
      </c>
      <c r="H151" s="12" t="e">
        <v>#N/A</v>
      </c>
      <c r="I151" s="11">
        <v>137152536.55260283</v>
      </c>
      <c r="J151" s="12">
        <v>4.2500000000000003E-2</v>
      </c>
    </row>
    <row r="152" spans="1:10" x14ac:dyDescent="0.2">
      <c r="A152" t="s">
        <v>442</v>
      </c>
      <c r="B152" t="s">
        <v>863</v>
      </c>
      <c r="C152" s="11">
        <v>0</v>
      </c>
      <c r="D152" s="12" t="e">
        <v>#N/A</v>
      </c>
      <c r="E152" s="11">
        <v>0</v>
      </c>
      <c r="F152" s="12" t="e">
        <v>#N/A</v>
      </c>
      <c r="G152" s="11">
        <v>0</v>
      </c>
      <c r="H152" s="12" t="e">
        <v>#N/A</v>
      </c>
      <c r="I152" s="11">
        <v>136488601.73748612</v>
      </c>
      <c r="J152" s="12">
        <v>4.1500000000000002E-2</v>
      </c>
    </row>
    <row r="153" spans="1:10" x14ac:dyDescent="0.2">
      <c r="A153" t="s">
        <v>7</v>
      </c>
      <c r="B153" t="s">
        <v>8</v>
      </c>
      <c r="C153" s="11">
        <v>0</v>
      </c>
      <c r="D153" s="12" t="e">
        <v>#N/A</v>
      </c>
      <c r="E153" s="11">
        <v>0</v>
      </c>
      <c r="F153" s="12" t="e">
        <v>#N/A</v>
      </c>
      <c r="G153" s="11">
        <v>0</v>
      </c>
      <c r="H153" s="12" t="e">
        <v>#N/A</v>
      </c>
      <c r="I153" s="11">
        <v>135845571.96457323</v>
      </c>
      <c r="J153" s="12">
        <v>4.1000000000000002E-2</v>
      </c>
    </row>
    <row r="154" spans="1:10" x14ac:dyDescent="0.2">
      <c r="A154" t="s">
        <v>105</v>
      </c>
      <c r="B154" t="s">
        <v>1429</v>
      </c>
      <c r="C154" s="11">
        <v>0</v>
      </c>
      <c r="D154" s="12" t="e">
        <v>#N/A</v>
      </c>
      <c r="E154" s="11">
        <v>0</v>
      </c>
      <c r="F154" s="12" t="e">
        <v>#N/A</v>
      </c>
      <c r="G154" s="11">
        <v>0</v>
      </c>
      <c r="H154" s="12" t="e">
        <v>#N/A</v>
      </c>
      <c r="I154" s="11">
        <v>133397251.14881924</v>
      </c>
      <c r="J154" s="12">
        <v>3.9E-2</v>
      </c>
    </row>
    <row r="155" spans="1:10" x14ac:dyDescent="0.2">
      <c r="A155" t="s">
        <v>441</v>
      </c>
      <c r="B155" t="s">
        <v>830</v>
      </c>
      <c r="C155" s="11">
        <v>0</v>
      </c>
      <c r="D155" s="12" t="e">
        <v>#N/A</v>
      </c>
      <c r="E155" s="11">
        <v>0</v>
      </c>
      <c r="F155" s="12" t="e">
        <v>#N/A</v>
      </c>
      <c r="G155" s="11">
        <v>0</v>
      </c>
      <c r="H155" s="12" t="e">
        <v>#N/A</v>
      </c>
      <c r="I155" s="11">
        <v>129137195.22796148</v>
      </c>
      <c r="J155" s="12">
        <v>4.3999999999999997E-2</v>
      </c>
    </row>
    <row r="156" spans="1:10" x14ac:dyDescent="0.2">
      <c r="A156" t="s">
        <v>62</v>
      </c>
      <c r="B156" t="s">
        <v>63</v>
      </c>
      <c r="C156" s="11">
        <v>0</v>
      </c>
      <c r="D156" s="12" t="e">
        <v>#N/A</v>
      </c>
      <c r="E156" s="11">
        <v>0</v>
      </c>
      <c r="F156" s="12" t="e">
        <v>#N/A</v>
      </c>
      <c r="G156" s="11">
        <v>0</v>
      </c>
      <c r="H156" s="12" t="e">
        <v>#N/A</v>
      </c>
      <c r="I156" s="11">
        <v>128692586.1886251</v>
      </c>
      <c r="J156" s="12">
        <v>4.2500000000000003E-2</v>
      </c>
    </row>
    <row r="157" spans="1:10" x14ac:dyDescent="0.2">
      <c r="A157" t="s">
        <v>88</v>
      </c>
      <c r="B157" t="s">
        <v>89</v>
      </c>
      <c r="C157" s="11">
        <v>0</v>
      </c>
      <c r="D157" s="12" t="e">
        <v>#N/A</v>
      </c>
      <c r="E157" s="11">
        <v>0</v>
      </c>
      <c r="F157" s="12" t="e">
        <v>#N/A</v>
      </c>
      <c r="G157" s="11">
        <v>0</v>
      </c>
      <c r="H157" s="12" t="e">
        <v>#N/A</v>
      </c>
      <c r="I157" s="11">
        <v>128383225.8665725</v>
      </c>
      <c r="J157" s="12">
        <v>4.2000000000000003E-2</v>
      </c>
    </row>
    <row r="158" spans="1:10" x14ac:dyDescent="0.2">
      <c r="A158" t="s">
        <v>147</v>
      </c>
      <c r="B158" t="s">
        <v>148</v>
      </c>
      <c r="C158" s="11">
        <v>0</v>
      </c>
      <c r="D158" s="12" t="e">
        <v>#N/A</v>
      </c>
      <c r="E158" s="11">
        <v>0</v>
      </c>
      <c r="F158" s="12" t="e">
        <v>#N/A</v>
      </c>
      <c r="G158" s="11">
        <v>0</v>
      </c>
      <c r="H158" s="12" t="e">
        <v>#N/A</v>
      </c>
      <c r="I158" s="11">
        <v>128130872.25806414</v>
      </c>
      <c r="J158" s="12">
        <v>4.2999999999999997E-2</v>
      </c>
    </row>
    <row r="159" spans="1:10" x14ac:dyDescent="0.2">
      <c r="A159" t="s">
        <v>165</v>
      </c>
      <c r="B159" t="s">
        <v>166</v>
      </c>
      <c r="C159" s="11">
        <v>0</v>
      </c>
      <c r="D159" s="12" t="e">
        <v>#N/A</v>
      </c>
      <c r="E159" s="11">
        <v>0</v>
      </c>
      <c r="F159" s="12" t="e">
        <v>#N/A</v>
      </c>
      <c r="G159" s="11">
        <v>0</v>
      </c>
      <c r="H159" s="12" t="e">
        <v>#N/A</v>
      </c>
      <c r="I159" s="11">
        <v>124308248.03239013</v>
      </c>
      <c r="J159" s="12">
        <v>4.3499999999999997E-2</v>
      </c>
    </row>
    <row r="160" spans="1:10" x14ac:dyDescent="0.2">
      <c r="A160" t="s">
        <v>355</v>
      </c>
      <c r="B160" t="s">
        <v>1236</v>
      </c>
      <c r="C160" s="11">
        <v>0</v>
      </c>
      <c r="D160" s="12" t="e">
        <v>#N/A</v>
      </c>
      <c r="E160" s="11">
        <v>0</v>
      </c>
      <c r="F160" s="12" t="e">
        <v>#N/A</v>
      </c>
      <c r="G160" s="11">
        <v>0</v>
      </c>
      <c r="H160" s="12" t="e">
        <v>#N/A</v>
      </c>
      <c r="I160" s="11">
        <v>123802441.58921014</v>
      </c>
      <c r="J160" s="12">
        <v>4.1000000000000002E-2</v>
      </c>
    </row>
    <row r="161" spans="1:10" x14ac:dyDescent="0.2">
      <c r="A161" t="s">
        <v>66</v>
      </c>
      <c r="B161" t="s">
        <v>67</v>
      </c>
      <c r="C161" s="11">
        <v>0</v>
      </c>
      <c r="D161" s="12" t="e">
        <v>#N/A</v>
      </c>
      <c r="E161" s="11">
        <v>0</v>
      </c>
      <c r="F161" s="12" t="e">
        <v>#N/A</v>
      </c>
      <c r="G161" s="11">
        <v>0</v>
      </c>
      <c r="H161" s="12" t="e">
        <v>#N/A</v>
      </c>
      <c r="I161" s="11">
        <v>123244565.66918489</v>
      </c>
      <c r="J161" s="12">
        <v>4.1000000000000002E-2</v>
      </c>
    </row>
    <row r="162" spans="1:10" x14ac:dyDescent="0.2">
      <c r="A162" t="s">
        <v>475</v>
      </c>
      <c r="B162" t="s">
        <v>1055</v>
      </c>
      <c r="C162" s="11">
        <v>0</v>
      </c>
      <c r="D162" s="12" t="e">
        <v>#N/A</v>
      </c>
      <c r="E162" s="11">
        <v>0</v>
      </c>
      <c r="F162" s="12" t="e">
        <v>#N/A</v>
      </c>
      <c r="G162" s="11">
        <v>0</v>
      </c>
      <c r="H162" s="12" t="e">
        <v>#N/A</v>
      </c>
      <c r="I162" s="11">
        <v>123122529.1556527</v>
      </c>
      <c r="J162" s="12">
        <v>4.4999999999999998E-2</v>
      </c>
    </row>
    <row r="163" spans="1:10" x14ac:dyDescent="0.2">
      <c r="A163" t="s">
        <v>626</v>
      </c>
      <c r="B163" t="s">
        <v>828</v>
      </c>
      <c r="C163" s="11">
        <v>0</v>
      </c>
      <c r="D163" s="12" t="e">
        <v>#N/A</v>
      </c>
      <c r="E163" s="11">
        <v>0</v>
      </c>
      <c r="F163" s="12" t="e">
        <v>#N/A</v>
      </c>
      <c r="G163" s="11">
        <v>0</v>
      </c>
      <c r="H163" s="12" t="e">
        <v>#N/A</v>
      </c>
      <c r="I163" s="11">
        <v>116651131.76977292</v>
      </c>
      <c r="J163" s="12">
        <v>4.3999999999999997E-2</v>
      </c>
    </row>
    <row r="164" spans="1:10" x14ac:dyDescent="0.2">
      <c r="A164" t="s">
        <v>46</v>
      </c>
      <c r="B164" t="s">
        <v>1441</v>
      </c>
      <c r="C164" s="11">
        <v>0</v>
      </c>
      <c r="D164" s="12" t="e">
        <v>#N/A</v>
      </c>
      <c r="E164" s="11">
        <v>0</v>
      </c>
      <c r="F164" s="12" t="e">
        <v>#N/A</v>
      </c>
      <c r="G164" s="11">
        <v>0</v>
      </c>
      <c r="H164" s="12" t="e">
        <v>#N/A</v>
      </c>
      <c r="I164" s="11">
        <v>115385992.82179233</v>
      </c>
      <c r="J164" s="12">
        <v>4.3999999999999997E-2</v>
      </c>
    </row>
    <row r="165" spans="1:10" x14ac:dyDescent="0.2">
      <c r="A165" t="s">
        <v>608</v>
      </c>
      <c r="B165" t="s">
        <v>609</v>
      </c>
      <c r="C165" s="11">
        <v>0</v>
      </c>
      <c r="D165" s="12" t="e">
        <v>#N/A</v>
      </c>
      <c r="E165" s="11">
        <v>0</v>
      </c>
      <c r="F165" s="12" t="e">
        <v>#N/A</v>
      </c>
      <c r="G165" s="11">
        <v>0</v>
      </c>
      <c r="H165" s="12" t="e">
        <v>#N/A</v>
      </c>
      <c r="I165" s="11">
        <v>113805175.70501101</v>
      </c>
      <c r="J165" s="12">
        <v>4.3999999999999997E-2</v>
      </c>
    </row>
    <row r="166" spans="1:10" x14ac:dyDescent="0.2">
      <c r="A166" t="s">
        <v>271</v>
      </c>
      <c r="B166" t="s">
        <v>272</v>
      </c>
      <c r="C166" s="11">
        <v>0</v>
      </c>
      <c r="D166" s="12" t="e">
        <v>#N/A</v>
      </c>
      <c r="E166" s="11">
        <v>0</v>
      </c>
      <c r="F166" s="12" t="e">
        <v>#N/A</v>
      </c>
      <c r="G166" s="11">
        <v>0</v>
      </c>
      <c r="H166" s="12" t="e">
        <v>#N/A</v>
      </c>
      <c r="I166" s="11">
        <v>113736576.884838</v>
      </c>
      <c r="J166" s="12">
        <v>4.1000000000000002E-2</v>
      </c>
    </row>
    <row r="167" spans="1:10" x14ac:dyDescent="0.2">
      <c r="A167" t="s">
        <v>444</v>
      </c>
      <c r="B167" t="s">
        <v>445</v>
      </c>
      <c r="C167" s="11">
        <v>0</v>
      </c>
      <c r="D167" s="12" t="e">
        <v>#N/A</v>
      </c>
      <c r="E167" s="11">
        <v>0</v>
      </c>
      <c r="F167" s="12" t="e">
        <v>#N/A</v>
      </c>
      <c r="G167" s="11">
        <v>0</v>
      </c>
      <c r="H167" s="12" t="e">
        <v>#N/A</v>
      </c>
      <c r="I167" s="11">
        <v>113092464.7676746</v>
      </c>
      <c r="J167" s="12">
        <v>0.04</v>
      </c>
    </row>
    <row r="168" spans="1:10" x14ac:dyDescent="0.2">
      <c r="A168" t="s">
        <v>303</v>
      </c>
      <c r="B168" t="s">
        <v>304</v>
      </c>
      <c r="C168" s="11">
        <v>0</v>
      </c>
      <c r="D168" s="12" t="e">
        <v>#N/A</v>
      </c>
      <c r="E168" s="11">
        <v>0</v>
      </c>
      <c r="F168" s="12" t="e">
        <v>#N/A</v>
      </c>
      <c r="G168" s="11">
        <v>0</v>
      </c>
      <c r="H168" s="12" t="e">
        <v>#N/A</v>
      </c>
      <c r="I168" s="11">
        <v>112418220.75547984</v>
      </c>
      <c r="J168" s="12">
        <v>4.3499999999999997E-2</v>
      </c>
    </row>
    <row r="169" spans="1:10" x14ac:dyDescent="0.2">
      <c r="A169" t="s">
        <v>484</v>
      </c>
      <c r="B169" t="s">
        <v>485</v>
      </c>
      <c r="C169" s="11">
        <v>0</v>
      </c>
      <c r="D169" s="12" t="e">
        <v>#N/A</v>
      </c>
      <c r="E169" s="11">
        <v>0</v>
      </c>
      <c r="F169" s="12" t="e">
        <v>#N/A</v>
      </c>
      <c r="G169" s="11">
        <v>0</v>
      </c>
      <c r="H169" s="12" t="e">
        <v>#N/A</v>
      </c>
      <c r="I169" s="11">
        <v>108490822.77492434</v>
      </c>
      <c r="J169" s="12">
        <v>4.5999999999999999E-2</v>
      </c>
    </row>
    <row r="170" spans="1:10" x14ac:dyDescent="0.2">
      <c r="A170" t="s">
        <v>452</v>
      </c>
      <c r="B170" t="s">
        <v>453</v>
      </c>
      <c r="C170" s="11">
        <v>0</v>
      </c>
      <c r="D170" s="12" t="e">
        <v>#N/A</v>
      </c>
      <c r="E170" s="11">
        <v>0</v>
      </c>
      <c r="F170" s="12" t="e">
        <v>#N/A</v>
      </c>
      <c r="G170" s="11">
        <v>0</v>
      </c>
      <c r="H170" s="12" t="e">
        <v>#N/A</v>
      </c>
      <c r="I170" s="11">
        <v>105567028.5094002</v>
      </c>
      <c r="J170" s="12">
        <v>4.4999999999999998E-2</v>
      </c>
    </row>
    <row r="171" spans="1:10" x14ac:dyDescent="0.2">
      <c r="A171" t="s">
        <v>622</v>
      </c>
      <c r="B171" t="s">
        <v>623</v>
      </c>
      <c r="C171" s="11">
        <v>0</v>
      </c>
      <c r="D171" s="12" t="e">
        <v>#N/A</v>
      </c>
      <c r="E171" s="11">
        <v>0</v>
      </c>
      <c r="F171" s="12" t="e">
        <v>#N/A</v>
      </c>
      <c r="G171" s="11">
        <v>0</v>
      </c>
      <c r="H171" s="12" t="e">
        <v>#N/A</v>
      </c>
      <c r="I171" s="11">
        <v>105188915.89547607</v>
      </c>
      <c r="J171" s="12">
        <v>4.5999999999999999E-2</v>
      </c>
    </row>
    <row r="172" spans="1:10" x14ac:dyDescent="0.2">
      <c r="A172" t="s">
        <v>318</v>
      </c>
      <c r="B172" t="s">
        <v>947</v>
      </c>
      <c r="C172" s="11">
        <v>0</v>
      </c>
      <c r="D172" s="12" t="e">
        <v>#N/A</v>
      </c>
      <c r="E172" s="11">
        <v>0</v>
      </c>
      <c r="F172" s="12" t="e">
        <v>#N/A</v>
      </c>
      <c r="G172" s="11">
        <v>0</v>
      </c>
      <c r="H172" s="12" t="e">
        <v>#N/A</v>
      </c>
      <c r="I172" s="11">
        <v>104995184.07411763</v>
      </c>
      <c r="J172" s="12">
        <v>4.2500000000000003E-2</v>
      </c>
    </row>
    <row r="173" spans="1:10" x14ac:dyDescent="0.2">
      <c r="A173" t="s">
        <v>566</v>
      </c>
      <c r="B173" t="s">
        <v>780</v>
      </c>
      <c r="C173" s="11">
        <v>0</v>
      </c>
      <c r="D173" s="12" t="e">
        <v>#N/A</v>
      </c>
      <c r="E173" s="11">
        <v>0</v>
      </c>
      <c r="F173" s="12" t="e">
        <v>#N/A</v>
      </c>
      <c r="G173" s="11">
        <v>0</v>
      </c>
      <c r="H173" s="12" t="e">
        <v>#N/A</v>
      </c>
      <c r="I173" s="11">
        <v>104546153.92564526</v>
      </c>
      <c r="J173" s="12">
        <v>4.2999999999999997E-2</v>
      </c>
    </row>
    <row r="174" spans="1:10" x14ac:dyDescent="0.2">
      <c r="A174" t="s">
        <v>92</v>
      </c>
      <c r="B174" t="s">
        <v>93</v>
      </c>
      <c r="C174" s="11">
        <v>0</v>
      </c>
      <c r="D174" s="12" t="e">
        <v>#N/A</v>
      </c>
      <c r="E174" s="11">
        <v>0</v>
      </c>
      <c r="F174" s="12" t="e">
        <v>#N/A</v>
      </c>
      <c r="G174" s="11">
        <v>0</v>
      </c>
      <c r="H174" s="12" t="e">
        <v>#N/A</v>
      </c>
      <c r="I174" s="11">
        <v>104121863.89941545</v>
      </c>
      <c r="J174" s="12">
        <v>4.3499999999999997E-2</v>
      </c>
    </row>
    <row r="175" spans="1:10" x14ac:dyDescent="0.2">
      <c r="A175" t="s">
        <v>517</v>
      </c>
      <c r="B175" t="s">
        <v>518</v>
      </c>
      <c r="C175" s="11">
        <v>0</v>
      </c>
      <c r="D175" s="12" t="e">
        <v>#N/A</v>
      </c>
      <c r="E175" s="11">
        <v>0</v>
      </c>
      <c r="F175" s="12" t="e">
        <v>#N/A</v>
      </c>
      <c r="G175" s="11">
        <v>0</v>
      </c>
      <c r="H175" s="12" t="e">
        <v>#N/A</v>
      </c>
      <c r="I175" s="11">
        <v>103184122.13556963</v>
      </c>
      <c r="J175" s="12">
        <v>4.4999999999999998E-2</v>
      </c>
    </row>
    <row r="176" spans="1:10" x14ac:dyDescent="0.2">
      <c r="A176" t="s">
        <v>94</v>
      </c>
      <c r="B176" t="s">
        <v>95</v>
      </c>
      <c r="C176" s="11">
        <v>0</v>
      </c>
      <c r="D176" s="12" t="e">
        <v>#N/A</v>
      </c>
      <c r="E176" s="11">
        <v>0</v>
      </c>
      <c r="F176" s="12" t="e">
        <v>#N/A</v>
      </c>
      <c r="G176" s="11">
        <v>0</v>
      </c>
      <c r="H176" s="12" t="e">
        <v>#N/A</v>
      </c>
      <c r="I176" s="11">
        <v>102449993.84627983</v>
      </c>
      <c r="J176" s="12">
        <v>4.2000000000000003E-2</v>
      </c>
    </row>
    <row r="177" spans="1:10" x14ac:dyDescent="0.2">
      <c r="A177" t="s">
        <v>168</v>
      </c>
      <c r="B177" t="s">
        <v>169</v>
      </c>
      <c r="C177" s="11">
        <v>0</v>
      </c>
      <c r="D177" s="12" t="e">
        <v>#N/A</v>
      </c>
      <c r="E177" s="11">
        <v>0</v>
      </c>
      <c r="F177" s="12" t="e">
        <v>#N/A</v>
      </c>
      <c r="G177" s="11">
        <v>0</v>
      </c>
      <c r="H177" s="12" t="e">
        <v>#N/A</v>
      </c>
      <c r="I177" s="11">
        <v>101155741.57860565</v>
      </c>
      <c r="J177" s="12">
        <v>4.3499999999999997E-2</v>
      </c>
    </row>
    <row r="178" spans="1:10" x14ac:dyDescent="0.2">
      <c r="A178" t="s">
        <v>473</v>
      </c>
      <c r="B178" t="s">
        <v>474</v>
      </c>
      <c r="C178" s="11">
        <v>0</v>
      </c>
      <c r="D178" s="12" t="e">
        <v>#N/A</v>
      </c>
      <c r="E178" s="11">
        <v>0</v>
      </c>
      <c r="F178" s="12" t="e">
        <v>#N/A</v>
      </c>
      <c r="G178" s="11">
        <v>0</v>
      </c>
      <c r="H178" s="12" t="e">
        <v>#N/A</v>
      </c>
      <c r="I178" s="11">
        <v>100347286.50389251</v>
      </c>
      <c r="J178" s="12">
        <v>4.2500000000000003E-2</v>
      </c>
    </row>
    <row r="179" spans="1:10" x14ac:dyDescent="0.2">
      <c r="A179" t="s">
        <v>207</v>
      </c>
      <c r="B179" t="s">
        <v>208</v>
      </c>
      <c r="C179" s="11">
        <v>0</v>
      </c>
      <c r="D179" s="12" t="e">
        <v>#N/A</v>
      </c>
      <c r="E179" s="11">
        <v>0</v>
      </c>
      <c r="F179" s="12" t="e">
        <v>#N/A</v>
      </c>
      <c r="G179" s="11">
        <v>0</v>
      </c>
      <c r="H179" s="12" t="e">
        <v>#N/A</v>
      </c>
      <c r="I179" s="11">
        <v>100285619.67329329</v>
      </c>
      <c r="J179" s="12">
        <v>4.2500000000000003E-2</v>
      </c>
    </row>
    <row r="180" spans="1:10" x14ac:dyDescent="0.2">
      <c r="A180" t="s">
        <v>569</v>
      </c>
      <c r="B180" t="s">
        <v>973</v>
      </c>
      <c r="C180" s="11">
        <v>0</v>
      </c>
      <c r="D180" s="12" t="e">
        <v>#N/A</v>
      </c>
      <c r="E180" s="11">
        <v>0</v>
      </c>
      <c r="F180" s="12" t="e">
        <v>#N/A</v>
      </c>
      <c r="G180" s="11">
        <v>0</v>
      </c>
      <c r="H180" s="12" t="e">
        <v>#N/A</v>
      </c>
      <c r="I180" s="11">
        <v>99139771.086012185</v>
      </c>
      <c r="J180" s="12">
        <v>3.9E-2</v>
      </c>
    </row>
    <row r="181" spans="1:10" x14ac:dyDescent="0.2">
      <c r="A181" t="s">
        <v>417</v>
      </c>
      <c r="B181" t="s">
        <v>418</v>
      </c>
      <c r="C181" s="11">
        <v>0</v>
      </c>
      <c r="D181" s="12" t="e">
        <v>#N/A</v>
      </c>
      <c r="E181" s="11">
        <v>0</v>
      </c>
      <c r="F181" s="12" t="e">
        <v>#N/A</v>
      </c>
      <c r="G181" s="11">
        <v>0</v>
      </c>
      <c r="H181" s="12" t="e">
        <v>#N/A</v>
      </c>
      <c r="I181" s="11">
        <v>97841717.589065969</v>
      </c>
      <c r="J181" s="12">
        <v>4.3499999999999997E-2</v>
      </c>
    </row>
    <row r="182" spans="1:10" x14ac:dyDescent="0.2">
      <c r="A182" t="s">
        <v>584</v>
      </c>
      <c r="B182" t="s">
        <v>971</v>
      </c>
      <c r="C182" s="11">
        <v>0</v>
      </c>
      <c r="D182" s="12" t="e">
        <v>#N/A</v>
      </c>
      <c r="E182" s="11">
        <v>0</v>
      </c>
      <c r="F182" s="12" t="e">
        <v>#N/A</v>
      </c>
      <c r="G182" s="11">
        <v>0</v>
      </c>
      <c r="H182" s="12" t="e">
        <v>#N/A</v>
      </c>
      <c r="I182" s="11">
        <v>96649124.827598959</v>
      </c>
      <c r="J182" s="12">
        <v>3.9E-2</v>
      </c>
    </row>
    <row r="183" spans="1:10" x14ac:dyDescent="0.2">
      <c r="A183" t="s">
        <v>258</v>
      </c>
      <c r="B183" t="s">
        <v>259</v>
      </c>
      <c r="C183" s="11">
        <v>0</v>
      </c>
      <c r="D183" s="12" t="e">
        <v>#N/A</v>
      </c>
      <c r="E183" s="11">
        <v>0</v>
      </c>
      <c r="F183" s="12" t="e">
        <v>#N/A</v>
      </c>
      <c r="G183" s="11">
        <v>0</v>
      </c>
      <c r="H183" s="12" t="e">
        <v>#N/A</v>
      </c>
      <c r="I183" s="11">
        <v>96433318.60805203</v>
      </c>
      <c r="J183" s="12">
        <v>4.2500000000000003E-2</v>
      </c>
    </row>
    <row r="184" spans="1:10" x14ac:dyDescent="0.2">
      <c r="A184" t="s">
        <v>253</v>
      </c>
      <c r="B184" t="s">
        <v>859</v>
      </c>
      <c r="C184" s="11">
        <v>0</v>
      </c>
      <c r="D184" s="12" t="e">
        <v>#N/A</v>
      </c>
      <c r="E184" s="11">
        <v>0</v>
      </c>
      <c r="F184" s="12" t="e">
        <v>#N/A</v>
      </c>
      <c r="G184" s="11">
        <v>0</v>
      </c>
      <c r="H184" s="12" t="e">
        <v>#N/A</v>
      </c>
      <c r="I184" s="11">
        <v>94625149.102785721</v>
      </c>
      <c r="J184" s="12">
        <v>0.04</v>
      </c>
    </row>
    <row r="185" spans="1:10" x14ac:dyDescent="0.2">
      <c r="A185" t="s">
        <v>24</v>
      </c>
      <c r="B185" t="s">
        <v>25</v>
      </c>
      <c r="C185" s="11">
        <v>0</v>
      </c>
      <c r="D185" s="12" t="e">
        <v>#N/A</v>
      </c>
      <c r="E185" s="11">
        <v>0</v>
      </c>
      <c r="F185" s="12" t="e">
        <v>#N/A</v>
      </c>
      <c r="G185" s="11">
        <v>0</v>
      </c>
      <c r="H185" s="12" t="e">
        <v>#N/A</v>
      </c>
      <c r="I185" s="11">
        <v>92938400.83959116</v>
      </c>
      <c r="J185" s="12">
        <v>4.1000000000000002E-2</v>
      </c>
    </row>
    <row r="186" spans="1:10" x14ac:dyDescent="0.2">
      <c r="A186" t="s">
        <v>289</v>
      </c>
      <c r="B186" t="s">
        <v>290</v>
      </c>
      <c r="C186" s="11">
        <v>0</v>
      </c>
      <c r="D186" s="12" t="e">
        <v>#N/A</v>
      </c>
      <c r="E186" s="11">
        <v>0</v>
      </c>
      <c r="F186" s="12" t="e">
        <v>#N/A</v>
      </c>
      <c r="G186" s="11">
        <v>0</v>
      </c>
      <c r="H186" s="12" t="e">
        <v>#N/A</v>
      </c>
      <c r="I186" s="11">
        <v>92199439.325460479</v>
      </c>
      <c r="J186" s="12">
        <v>4.1000000000000002E-2</v>
      </c>
    </row>
    <row r="187" spans="1:10" x14ac:dyDescent="0.2">
      <c r="A187" t="s">
        <v>223</v>
      </c>
      <c r="B187" t="s">
        <v>224</v>
      </c>
      <c r="C187" s="11">
        <v>0</v>
      </c>
      <c r="D187" s="12" t="e">
        <v>#N/A</v>
      </c>
      <c r="E187" s="11">
        <v>0</v>
      </c>
      <c r="F187" s="12" t="e">
        <v>#N/A</v>
      </c>
      <c r="G187" s="11">
        <v>0</v>
      </c>
      <c r="H187" s="12" t="e">
        <v>#N/A</v>
      </c>
      <c r="I187" s="11">
        <v>90153422.993299261</v>
      </c>
      <c r="J187" s="12">
        <v>4.2500000000000003E-2</v>
      </c>
    </row>
    <row r="188" spans="1:10" x14ac:dyDescent="0.2">
      <c r="A188" t="s">
        <v>190</v>
      </c>
      <c r="B188" t="s">
        <v>191</v>
      </c>
      <c r="C188" s="11">
        <v>0</v>
      </c>
      <c r="D188" s="12" t="e">
        <v>#N/A</v>
      </c>
      <c r="E188" s="11">
        <v>0</v>
      </c>
      <c r="F188" s="12" t="e">
        <v>#N/A</v>
      </c>
      <c r="G188" s="11">
        <v>0</v>
      </c>
      <c r="H188" s="12" t="e">
        <v>#N/A</v>
      </c>
      <c r="I188" s="11">
        <v>89095339.895875201</v>
      </c>
      <c r="J188" s="12">
        <v>4.4999999999999998E-2</v>
      </c>
    </row>
    <row r="189" spans="1:10" x14ac:dyDescent="0.2">
      <c r="A189" t="s">
        <v>573</v>
      </c>
      <c r="B189" t="s">
        <v>989</v>
      </c>
      <c r="C189" s="11">
        <v>0</v>
      </c>
      <c r="D189" s="12" t="e">
        <v>#N/A</v>
      </c>
      <c r="E189" s="11">
        <v>0</v>
      </c>
      <c r="F189" s="12" t="e">
        <v>#N/A</v>
      </c>
      <c r="G189" s="11">
        <v>0</v>
      </c>
      <c r="H189" s="12" t="e">
        <v>#N/A</v>
      </c>
      <c r="I189" s="11">
        <v>88362865.378226534</v>
      </c>
      <c r="J189" s="12">
        <v>4.5999999999999999E-2</v>
      </c>
    </row>
    <row r="190" spans="1:10" x14ac:dyDescent="0.2">
      <c r="A190" t="s">
        <v>590</v>
      </c>
      <c r="B190" t="s">
        <v>984</v>
      </c>
      <c r="C190" s="11">
        <v>0</v>
      </c>
      <c r="D190" s="12" t="e">
        <v>#N/A</v>
      </c>
      <c r="E190" s="11">
        <v>0</v>
      </c>
      <c r="F190" s="12" t="e">
        <v>#N/A</v>
      </c>
      <c r="G190" s="11">
        <v>0</v>
      </c>
      <c r="H190" s="12" t="e">
        <v>#N/A</v>
      </c>
      <c r="I190" s="11">
        <v>86332811.217885867</v>
      </c>
      <c r="J190" s="12">
        <v>4.2500000000000003E-2</v>
      </c>
    </row>
    <row r="191" spans="1:10" x14ac:dyDescent="0.2">
      <c r="A191" t="s">
        <v>531</v>
      </c>
      <c r="B191" t="s">
        <v>532</v>
      </c>
      <c r="C191" s="11">
        <v>0</v>
      </c>
      <c r="D191" s="12" t="e">
        <v>#N/A</v>
      </c>
      <c r="E191" s="11">
        <v>0</v>
      </c>
      <c r="F191" s="12" t="e">
        <v>#N/A</v>
      </c>
      <c r="G191" s="11">
        <v>0</v>
      </c>
      <c r="H191" s="12" t="e">
        <v>#N/A</v>
      </c>
      <c r="I191" s="11">
        <v>85820276.867816105</v>
      </c>
      <c r="J191" s="12">
        <v>4.3499999999999997E-2</v>
      </c>
    </row>
    <row r="192" spans="1:10" x14ac:dyDescent="0.2">
      <c r="A192" t="s">
        <v>583</v>
      </c>
      <c r="B192" t="s">
        <v>1036</v>
      </c>
      <c r="C192" s="11">
        <v>0</v>
      </c>
      <c r="D192" s="12" t="e">
        <v>#N/A</v>
      </c>
      <c r="E192" s="11">
        <v>0</v>
      </c>
      <c r="F192" s="12" t="e">
        <v>#N/A</v>
      </c>
      <c r="G192" s="11">
        <v>0</v>
      </c>
      <c r="H192" s="12" t="e">
        <v>#N/A</v>
      </c>
      <c r="I192" s="11">
        <v>85819403.347537652</v>
      </c>
      <c r="J192" s="12">
        <v>4.4999999999999998E-2</v>
      </c>
    </row>
    <row r="193" spans="1:10" x14ac:dyDescent="0.2">
      <c r="A193" t="s">
        <v>325</v>
      </c>
      <c r="B193" t="s">
        <v>326</v>
      </c>
      <c r="C193" s="11">
        <v>0</v>
      </c>
      <c r="D193" s="12" t="e">
        <v>#N/A</v>
      </c>
      <c r="E193" s="11">
        <v>0</v>
      </c>
      <c r="F193" s="12" t="e">
        <v>#N/A</v>
      </c>
      <c r="G193" s="11">
        <v>0</v>
      </c>
      <c r="H193" s="12" t="e">
        <v>#N/A</v>
      </c>
      <c r="I193" s="11">
        <v>85249978.751084611</v>
      </c>
      <c r="J193" s="12">
        <v>4.65E-2</v>
      </c>
    </row>
    <row r="194" spans="1:10" x14ac:dyDescent="0.2">
      <c r="A194" t="s">
        <v>448</v>
      </c>
      <c r="B194" t="s">
        <v>449</v>
      </c>
      <c r="C194" s="11">
        <v>0</v>
      </c>
      <c r="D194" s="12" t="e">
        <v>#N/A</v>
      </c>
      <c r="E194" s="11">
        <v>0</v>
      </c>
      <c r="F194" s="12" t="e">
        <v>#N/A</v>
      </c>
      <c r="G194" s="11">
        <v>0</v>
      </c>
      <c r="H194" s="12" t="e">
        <v>#N/A</v>
      </c>
      <c r="I194" s="11">
        <v>84897924.47195065</v>
      </c>
      <c r="J194" s="12">
        <v>4.4499999999999998E-2</v>
      </c>
    </row>
    <row r="195" spans="1:10" x14ac:dyDescent="0.2">
      <c r="A195" t="s">
        <v>556</v>
      </c>
      <c r="B195" t="s">
        <v>557</v>
      </c>
      <c r="C195" s="11">
        <v>0</v>
      </c>
      <c r="D195" s="12" t="e">
        <v>#N/A</v>
      </c>
      <c r="E195" s="11">
        <v>0</v>
      </c>
      <c r="F195" s="12" t="e">
        <v>#N/A</v>
      </c>
      <c r="G195" s="11">
        <v>0</v>
      </c>
      <c r="H195" s="12" t="e">
        <v>#N/A</v>
      </c>
      <c r="I195" s="11">
        <v>83970945.363412499</v>
      </c>
      <c r="J195" s="12">
        <v>4.2500000000000003E-2</v>
      </c>
    </row>
    <row r="196" spans="1:10" x14ac:dyDescent="0.2">
      <c r="A196" t="s">
        <v>360</v>
      </c>
      <c r="B196" t="s">
        <v>361</v>
      </c>
      <c r="C196" s="11">
        <v>0</v>
      </c>
      <c r="D196" s="12" t="e">
        <v>#N/A</v>
      </c>
      <c r="E196" s="11">
        <v>0</v>
      </c>
      <c r="F196" s="12" t="e">
        <v>#N/A</v>
      </c>
      <c r="G196" s="11">
        <v>0</v>
      </c>
      <c r="H196" s="12" t="e">
        <v>#N/A</v>
      </c>
      <c r="I196" s="11">
        <v>82847786.410786167</v>
      </c>
      <c r="J196" s="12">
        <v>4.2999999999999997E-2</v>
      </c>
    </row>
    <row r="197" spans="1:10" x14ac:dyDescent="0.2">
      <c r="A197" t="s">
        <v>243</v>
      </c>
      <c r="B197" t="s">
        <v>1096</v>
      </c>
      <c r="C197" s="11">
        <v>0</v>
      </c>
      <c r="D197" s="12" t="e">
        <v>#N/A</v>
      </c>
      <c r="E197" s="11">
        <v>0</v>
      </c>
      <c r="F197" s="12" t="e">
        <v>#N/A</v>
      </c>
      <c r="G197" s="11">
        <v>0</v>
      </c>
      <c r="H197" s="12" t="e">
        <v>#N/A</v>
      </c>
      <c r="I197" s="11">
        <v>81552572.99187164</v>
      </c>
      <c r="J197" s="12">
        <v>4.2500000000000003E-2</v>
      </c>
    </row>
    <row r="198" spans="1:10" x14ac:dyDescent="0.2">
      <c r="A198" t="s">
        <v>460</v>
      </c>
      <c r="B198" t="s">
        <v>461</v>
      </c>
      <c r="C198" s="11">
        <v>0</v>
      </c>
      <c r="D198" s="12" t="e">
        <v>#N/A</v>
      </c>
      <c r="E198" s="11">
        <v>0</v>
      </c>
      <c r="F198" s="12" t="e">
        <v>#N/A</v>
      </c>
      <c r="G198" s="11">
        <v>0</v>
      </c>
      <c r="H198" s="12" t="e">
        <v>#N/A</v>
      </c>
      <c r="I198" s="11">
        <v>80951199.287800357</v>
      </c>
      <c r="J198" s="12">
        <v>4.7500000000000001E-2</v>
      </c>
    </row>
    <row r="199" spans="1:10" x14ac:dyDescent="0.2">
      <c r="A199" t="s">
        <v>594</v>
      </c>
      <c r="B199" t="s">
        <v>990</v>
      </c>
      <c r="C199" s="11">
        <v>0</v>
      </c>
      <c r="D199" s="12" t="e">
        <v>#N/A</v>
      </c>
      <c r="E199" s="11">
        <v>0</v>
      </c>
      <c r="F199" s="12" t="e">
        <v>#N/A</v>
      </c>
      <c r="G199" s="11">
        <v>0</v>
      </c>
      <c r="H199" s="12" t="e">
        <v>#N/A</v>
      </c>
      <c r="I199" s="11">
        <v>80057864.813249886</v>
      </c>
      <c r="J199" s="12">
        <v>4.5999999999999999E-2</v>
      </c>
    </row>
    <row r="200" spans="1:10" x14ac:dyDescent="0.2">
      <c r="A200" t="s">
        <v>470</v>
      </c>
      <c r="B200" t="s">
        <v>471</v>
      </c>
      <c r="C200" s="11">
        <v>0</v>
      </c>
      <c r="D200" s="12" t="e">
        <v>#N/A</v>
      </c>
      <c r="E200" s="11">
        <v>0</v>
      </c>
      <c r="F200" s="12" t="e">
        <v>#N/A</v>
      </c>
      <c r="G200" s="11">
        <v>0</v>
      </c>
      <c r="H200" s="12" t="e">
        <v>#N/A</v>
      </c>
      <c r="I200" s="11">
        <v>79732290.74019298</v>
      </c>
      <c r="J200" s="12">
        <v>4.2000000000000003E-2</v>
      </c>
    </row>
    <row r="201" spans="1:10" x14ac:dyDescent="0.2">
      <c r="A201" t="s">
        <v>37</v>
      </c>
      <c r="B201" t="s">
        <v>38</v>
      </c>
      <c r="C201" s="11">
        <v>0</v>
      </c>
      <c r="D201" s="12" t="e">
        <v>#N/A</v>
      </c>
      <c r="E201" s="11">
        <v>0</v>
      </c>
      <c r="F201" s="12" t="e">
        <v>#N/A</v>
      </c>
      <c r="G201" s="11">
        <v>0</v>
      </c>
      <c r="H201" s="12" t="e">
        <v>#N/A</v>
      </c>
      <c r="I201" s="11">
        <v>79551555.620722085</v>
      </c>
      <c r="J201" s="12">
        <v>4.3499999999999997E-2</v>
      </c>
    </row>
    <row r="202" spans="1:10" x14ac:dyDescent="0.2">
      <c r="A202" t="s">
        <v>571</v>
      </c>
      <c r="B202" t="s">
        <v>1152</v>
      </c>
      <c r="C202" s="11">
        <v>0</v>
      </c>
      <c r="D202" s="12" t="e">
        <v>#N/A</v>
      </c>
      <c r="E202" s="11">
        <v>0</v>
      </c>
      <c r="F202" s="12" t="e">
        <v>#N/A</v>
      </c>
      <c r="G202" s="11">
        <v>0</v>
      </c>
      <c r="H202" s="12" t="e">
        <v>#N/A</v>
      </c>
      <c r="I202" s="11">
        <v>77941577.953053534</v>
      </c>
      <c r="J202" s="12">
        <v>4.7500000000000001E-2</v>
      </c>
    </row>
    <row r="203" spans="1:10" x14ac:dyDescent="0.2">
      <c r="A203" t="s">
        <v>250</v>
      </c>
      <c r="B203" t="s">
        <v>251</v>
      </c>
      <c r="C203" s="11">
        <v>0</v>
      </c>
      <c r="D203" s="12" t="e">
        <v>#N/A</v>
      </c>
      <c r="E203" s="11">
        <v>0</v>
      </c>
      <c r="F203" s="12" t="e">
        <v>#N/A</v>
      </c>
      <c r="G203" s="11">
        <v>0</v>
      </c>
      <c r="H203" s="12" t="e">
        <v>#N/A</v>
      </c>
      <c r="I203" s="11">
        <v>77416041.384443194</v>
      </c>
      <c r="J203" s="12">
        <v>4.2500000000000003E-2</v>
      </c>
    </row>
    <row r="204" spans="1:10" x14ac:dyDescent="0.2">
      <c r="A204" t="s">
        <v>108</v>
      </c>
      <c r="B204" t="s">
        <v>109</v>
      </c>
      <c r="C204" s="11">
        <v>0</v>
      </c>
      <c r="D204" s="12" t="e">
        <v>#N/A</v>
      </c>
      <c r="E204" s="11">
        <v>0</v>
      </c>
      <c r="F204" s="12" t="e">
        <v>#N/A</v>
      </c>
      <c r="G204" s="11">
        <v>0</v>
      </c>
      <c r="H204" s="12" t="e">
        <v>#N/A</v>
      </c>
      <c r="I204" s="11">
        <v>77012192.882959202</v>
      </c>
      <c r="J204" s="12">
        <v>4.4499999999999998E-2</v>
      </c>
    </row>
    <row r="205" spans="1:10" x14ac:dyDescent="0.2">
      <c r="A205" t="s">
        <v>514</v>
      </c>
      <c r="B205" t="s">
        <v>515</v>
      </c>
      <c r="C205" s="11">
        <v>0</v>
      </c>
      <c r="D205" s="12" t="e">
        <v>#N/A</v>
      </c>
      <c r="E205" s="11">
        <v>0</v>
      </c>
      <c r="F205" s="12" t="e">
        <v>#N/A</v>
      </c>
      <c r="G205" s="11">
        <v>0</v>
      </c>
      <c r="H205" s="12" t="e">
        <v>#N/A</v>
      </c>
      <c r="I205" s="11">
        <v>76124519.666100904</v>
      </c>
      <c r="J205" s="12">
        <v>4.3999999999999997E-2</v>
      </c>
    </row>
    <row r="206" spans="1:10" x14ac:dyDescent="0.2">
      <c r="A206" t="s">
        <v>501</v>
      </c>
      <c r="B206" t="s">
        <v>502</v>
      </c>
      <c r="C206" s="11">
        <v>0</v>
      </c>
      <c r="D206" s="12" t="e">
        <v>#N/A</v>
      </c>
      <c r="E206" s="11">
        <v>0</v>
      </c>
      <c r="F206" s="12" t="e">
        <v>#N/A</v>
      </c>
      <c r="G206" s="11">
        <v>0</v>
      </c>
      <c r="H206" s="12" t="e">
        <v>#N/A</v>
      </c>
      <c r="I206" s="11">
        <v>75114657.070642352</v>
      </c>
      <c r="J206" s="12">
        <v>4.3999999999999997E-2</v>
      </c>
    </row>
    <row r="207" spans="1:10" x14ac:dyDescent="0.2">
      <c r="A207" t="s">
        <v>306</v>
      </c>
      <c r="B207" t="s">
        <v>307</v>
      </c>
      <c r="C207" s="11">
        <v>0</v>
      </c>
      <c r="D207" s="12" t="e">
        <v>#N/A</v>
      </c>
      <c r="E207" s="11">
        <v>0</v>
      </c>
      <c r="F207" s="12" t="e">
        <v>#N/A</v>
      </c>
      <c r="G207" s="11">
        <v>0</v>
      </c>
      <c r="H207" s="12" t="e">
        <v>#N/A</v>
      </c>
      <c r="I207" s="11">
        <v>74833672.45140402</v>
      </c>
      <c r="J207" s="12">
        <v>0.04</v>
      </c>
    </row>
    <row r="208" spans="1:10" x14ac:dyDescent="0.2">
      <c r="A208" t="s">
        <v>387</v>
      </c>
      <c r="B208" t="s">
        <v>388</v>
      </c>
      <c r="C208" s="11">
        <v>0</v>
      </c>
      <c r="D208" s="12" t="e">
        <v>#N/A</v>
      </c>
      <c r="E208" s="11">
        <v>0</v>
      </c>
      <c r="F208" s="12" t="e">
        <v>#N/A</v>
      </c>
      <c r="G208" s="11">
        <v>0</v>
      </c>
      <c r="H208" s="12" t="e">
        <v>#N/A</v>
      </c>
      <c r="I208" s="11">
        <v>74526147.843749776</v>
      </c>
      <c r="J208" s="12">
        <v>4.2999999999999997E-2</v>
      </c>
    </row>
    <row r="209" spans="1:10" x14ac:dyDescent="0.2">
      <c r="A209" t="s">
        <v>181</v>
      </c>
      <c r="B209" t="s">
        <v>182</v>
      </c>
      <c r="C209" s="11">
        <v>0</v>
      </c>
      <c r="D209" s="12" t="e">
        <v>#N/A</v>
      </c>
      <c r="E209" s="11">
        <v>0</v>
      </c>
      <c r="F209" s="12" t="e">
        <v>#N/A</v>
      </c>
      <c r="G209" s="11">
        <v>0</v>
      </c>
      <c r="H209" s="12" t="e">
        <v>#N/A</v>
      </c>
      <c r="I209" s="11">
        <v>73373914.591762453</v>
      </c>
      <c r="J209" s="12">
        <v>4.2999999999999997E-2</v>
      </c>
    </row>
    <row r="210" spans="1:10" x14ac:dyDescent="0.2">
      <c r="A210" t="s">
        <v>629</v>
      </c>
      <c r="B210" t="s">
        <v>630</v>
      </c>
      <c r="C210" s="11">
        <v>0</v>
      </c>
      <c r="D210" s="12" t="e">
        <v>#N/A</v>
      </c>
      <c r="E210" s="11">
        <v>0</v>
      </c>
      <c r="F210" s="12" t="e">
        <v>#N/A</v>
      </c>
      <c r="G210" s="11">
        <v>0</v>
      </c>
      <c r="H210" s="12" t="e">
        <v>#N/A</v>
      </c>
      <c r="I210" s="11">
        <v>69626138.387752652</v>
      </c>
      <c r="J210" s="12">
        <v>4.8000000000000001E-2</v>
      </c>
    </row>
    <row r="211" spans="1:10" x14ac:dyDescent="0.2">
      <c r="A211" t="s">
        <v>3</v>
      </c>
      <c r="B211" t="s">
        <v>4</v>
      </c>
      <c r="C211" s="11">
        <v>0</v>
      </c>
      <c r="D211" s="12" t="e">
        <v>#N/A</v>
      </c>
      <c r="E211" s="11">
        <v>0</v>
      </c>
      <c r="F211" s="12" t="e">
        <v>#N/A</v>
      </c>
      <c r="G211" s="11">
        <v>0</v>
      </c>
      <c r="H211" s="12" t="e">
        <v>#N/A</v>
      </c>
      <c r="I211" s="11">
        <v>69295193.086321443</v>
      </c>
      <c r="J211" s="12">
        <v>4.4999999999999998E-2</v>
      </c>
    </row>
    <row r="212" spans="1:10" x14ac:dyDescent="0.2">
      <c r="A212" t="s">
        <v>454</v>
      </c>
      <c r="B212" t="s">
        <v>455</v>
      </c>
      <c r="C212" s="11">
        <v>0</v>
      </c>
      <c r="D212" s="12" t="e">
        <v>#N/A</v>
      </c>
      <c r="E212" s="11">
        <v>0</v>
      </c>
      <c r="F212" s="12" t="e">
        <v>#N/A</v>
      </c>
      <c r="G212" s="11">
        <v>0</v>
      </c>
      <c r="H212" s="12" t="e">
        <v>#N/A</v>
      </c>
      <c r="I212" s="11">
        <v>68673807.242874131</v>
      </c>
      <c r="J212" s="12">
        <v>5.2499999999999998E-2</v>
      </c>
    </row>
    <row r="213" spans="1:10" x14ac:dyDescent="0.2">
      <c r="A213" t="s">
        <v>129</v>
      </c>
      <c r="B213" t="s">
        <v>130</v>
      </c>
      <c r="C213" s="11">
        <v>0</v>
      </c>
      <c r="D213" s="12" t="e">
        <v>#N/A</v>
      </c>
      <c r="E213" s="11">
        <v>0</v>
      </c>
      <c r="F213" s="12" t="e">
        <v>#N/A</v>
      </c>
      <c r="G213" s="11">
        <v>0</v>
      </c>
      <c r="H213" s="12" t="e">
        <v>#N/A</v>
      </c>
      <c r="I213" s="11">
        <v>66676214.869787142</v>
      </c>
      <c r="J213" s="12">
        <v>4.5999999999999999E-2</v>
      </c>
    </row>
    <row r="214" spans="1:10" x14ac:dyDescent="0.2">
      <c r="A214" t="s">
        <v>482</v>
      </c>
      <c r="B214" t="s">
        <v>483</v>
      </c>
      <c r="C214" s="11">
        <v>0</v>
      </c>
      <c r="D214" s="12" t="e">
        <v>#N/A</v>
      </c>
      <c r="E214" s="11">
        <v>0</v>
      </c>
      <c r="F214" s="12" t="e">
        <v>#N/A</v>
      </c>
      <c r="G214" s="11">
        <v>0</v>
      </c>
      <c r="H214" s="12" t="e">
        <v>#N/A</v>
      </c>
      <c r="I214" s="11">
        <v>63225609.41203846</v>
      </c>
      <c r="J214" s="12">
        <v>4.5999999999999999E-2</v>
      </c>
    </row>
    <row r="215" spans="1:10" x14ac:dyDescent="0.2">
      <c r="A215" t="s">
        <v>72</v>
      </c>
      <c r="B215" t="s">
        <v>73</v>
      </c>
      <c r="C215" s="11">
        <v>0</v>
      </c>
      <c r="D215" s="12" t="e">
        <v>#N/A</v>
      </c>
      <c r="E215" s="11">
        <v>0</v>
      </c>
      <c r="F215" s="12" t="e">
        <v>#N/A</v>
      </c>
      <c r="G215" s="11">
        <v>0</v>
      </c>
      <c r="H215" s="12" t="e">
        <v>#N/A</v>
      </c>
      <c r="I215" s="11">
        <v>60243629.701448008</v>
      </c>
      <c r="J215" s="12">
        <v>4.4999999999999998E-2</v>
      </c>
    </row>
    <row r="216" spans="1:10" x14ac:dyDescent="0.2">
      <c r="A216" t="s">
        <v>122</v>
      </c>
      <c r="B216" t="s">
        <v>123</v>
      </c>
      <c r="C216" s="11">
        <v>0</v>
      </c>
      <c r="D216" s="12" t="e">
        <v>#N/A</v>
      </c>
      <c r="E216" s="11">
        <v>0</v>
      </c>
      <c r="F216" s="12" t="e">
        <v>#N/A</v>
      </c>
      <c r="G216" s="11">
        <v>0</v>
      </c>
      <c r="H216" s="12" t="e">
        <v>#N/A</v>
      </c>
      <c r="I216" s="11">
        <v>59515847.860158779</v>
      </c>
      <c r="J216" s="12">
        <v>4.5999999999999999E-2</v>
      </c>
    </row>
    <row r="217" spans="1:10" x14ac:dyDescent="0.2">
      <c r="A217" t="s">
        <v>427</v>
      </c>
      <c r="B217" t="s">
        <v>428</v>
      </c>
      <c r="C217" s="11">
        <v>0</v>
      </c>
      <c r="D217" s="12" t="e">
        <v>#N/A</v>
      </c>
      <c r="E217" s="11">
        <v>0</v>
      </c>
      <c r="F217" s="12" t="e">
        <v>#N/A</v>
      </c>
      <c r="G217" s="11">
        <v>0</v>
      </c>
      <c r="H217" s="12" t="e">
        <v>#N/A</v>
      </c>
      <c r="I217" s="11">
        <v>59366764.48733823</v>
      </c>
      <c r="J217" s="12">
        <v>4.2500000000000003E-2</v>
      </c>
    </row>
    <row r="218" spans="1:10" x14ac:dyDescent="0.2">
      <c r="A218" t="s">
        <v>79</v>
      </c>
      <c r="B218" t="s">
        <v>80</v>
      </c>
      <c r="C218" s="11">
        <v>0</v>
      </c>
      <c r="D218" s="12" t="e">
        <v>#N/A</v>
      </c>
      <c r="E218" s="11">
        <v>0</v>
      </c>
      <c r="F218" s="12" t="e">
        <v>#N/A</v>
      </c>
      <c r="G218" s="11">
        <v>0</v>
      </c>
      <c r="H218" s="12" t="e">
        <v>#N/A</v>
      </c>
      <c r="I218" s="11">
        <v>59285439.145592086</v>
      </c>
      <c r="J218" s="12">
        <v>0.04</v>
      </c>
    </row>
    <row r="219" spans="1:10" x14ac:dyDescent="0.2">
      <c r="A219" t="s">
        <v>432</v>
      </c>
      <c r="B219" t="s">
        <v>433</v>
      </c>
      <c r="C219" s="11">
        <v>0</v>
      </c>
      <c r="D219" s="12" t="e">
        <v>#N/A</v>
      </c>
      <c r="E219" s="11">
        <v>0</v>
      </c>
      <c r="F219" s="12" t="e">
        <v>#N/A</v>
      </c>
      <c r="G219" s="11">
        <v>0</v>
      </c>
      <c r="H219" s="12" t="e">
        <v>#N/A</v>
      </c>
      <c r="I219" s="11">
        <v>59078304.055348985</v>
      </c>
      <c r="J219" s="12">
        <v>4.2999999999999997E-2</v>
      </c>
    </row>
    <row r="220" spans="1:10" x14ac:dyDescent="0.2">
      <c r="A220" t="s">
        <v>70</v>
      </c>
      <c r="B220" t="s">
        <v>71</v>
      </c>
      <c r="C220" s="11">
        <v>0</v>
      </c>
      <c r="D220" s="12" t="e">
        <v>#N/A</v>
      </c>
      <c r="E220" s="11">
        <v>0</v>
      </c>
      <c r="F220" s="12" t="e">
        <v>#N/A</v>
      </c>
      <c r="G220" s="11">
        <v>0</v>
      </c>
      <c r="H220" s="12" t="e">
        <v>#N/A</v>
      </c>
      <c r="I220" s="11">
        <v>58425401.98290132</v>
      </c>
      <c r="J220" s="12">
        <v>4.2500000000000003E-2</v>
      </c>
    </row>
    <row r="221" spans="1:10" x14ac:dyDescent="0.2">
      <c r="A221" t="s">
        <v>496</v>
      </c>
      <c r="B221" t="s">
        <v>497</v>
      </c>
      <c r="C221" s="11">
        <v>0</v>
      </c>
      <c r="D221" s="12" t="e">
        <v>#N/A</v>
      </c>
      <c r="E221" s="11">
        <v>0</v>
      </c>
      <c r="F221" s="12" t="e">
        <v>#N/A</v>
      </c>
      <c r="G221" s="11">
        <v>0</v>
      </c>
      <c r="H221" s="12" t="e">
        <v>#N/A</v>
      </c>
      <c r="I221" s="11">
        <v>57803767.229708277</v>
      </c>
      <c r="J221" s="12">
        <v>4.3999999999999997E-2</v>
      </c>
    </row>
    <row r="222" spans="1:10" x14ac:dyDescent="0.2">
      <c r="A222" t="s">
        <v>627</v>
      </c>
      <c r="B222" t="s">
        <v>926</v>
      </c>
      <c r="C222" s="11">
        <v>0</v>
      </c>
      <c r="D222" s="12" t="e">
        <v>#N/A</v>
      </c>
      <c r="E222" s="11">
        <v>0</v>
      </c>
      <c r="F222" s="12" t="e">
        <v>#N/A</v>
      </c>
      <c r="G222" s="11">
        <v>0</v>
      </c>
      <c r="H222" s="12" t="e">
        <v>#N/A</v>
      </c>
      <c r="I222" s="11">
        <v>56728319.831644431</v>
      </c>
      <c r="J222" s="12">
        <v>4.2500000000000003E-2</v>
      </c>
    </row>
    <row r="223" spans="1:10" x14ac:dyDescent="0.2">
      <c r="A223" t="s">
        <v>596</v>
      </c>
      <c r="B223" t="s">
        <v>1432</v>
      </c>
      <c r="C223" s="11">
        <v>0</v>
      </c>
      <c r="D223" s="12" t="e">
        <v>#N/A</v>
      </c>
      <c r="E223" s="11">
        <v>0</v>
      </c>
      <c r="F223" s="12" t="e">
        <v>#N/A</v>
      </c>
      <c r="G223" s="11">
        <v>0</v>
      </c>
      <c r="H223" s="12" t="e">
        <v>#N/A</v>
      </c>
      <c r="I223" s="11">
        <v>56115937.20244734</v>
      </c>
      <c r="J223" s="12">
        <v>4.5999999999999999E-2</v>
      </c>
    </row>
    <row r="224" spans="1:10" x14ac:dyDescent="0.2">
      <c r="A224" t="s">
        <v>14</v>
      </c>
      <c r="B224" t="s">
        <v>15</v>
      </c>
      <c r="C224" s="11">
        <v>0</v>
      </c>
      <c r="D224" s="12" t="e">
        <v>#N/A</v>
      </c>
      <c r="E224" s="11">
        <v>0</v>
      </c>
      <c r="F224" s="12" t="e">
        <v>#N/A</v>
      </c>
      <c r="G224" s="11">
        <v>0</v>
      </c>
      <c r="H224" s="12" t="e">
        <v>#N/A</v>
      </c>
      <c r="I224" s="11">
        <v>56036991.796677135</v>
      </c>
      <c r="J224" s="12">
        <v>4.2500000000000003E-2</v>
      </c>
    </row>
    <row r="225" spans="1:10" x14ac:dyDescent="0.2">
      <c r="A225" t="s">
        <v>457</v>
      </c>
      <c r="B225" t="s">
        <v>458</v>
      </c>
      <c r="C225" s="11">
        <v>0</v>
      </c>
      <c r="D225" s="12" t="e">
        <v>#N/A</v>
      </c>
      <c r="E225" s="11">
        <v>0</v>
      </c>
      <c r="F225" s="12" t="e">
        <v>#N/A</v>
      </c>
      <c r="G225" s="11">
        <v>0</v>
      </c>
      <c r="H225" s="12" t="e">
        <v>#N/A</v>
      </c>
      <c r="I225" s="11">
        <v>54773179.432751797</v>
      </c>
      <c r="J225" s="12">
        <v>4.9000000000000002E-2</v>
      </c>
    </row>
    <row r="226" spans="1:10" x14ac:dyDescent="0.2">
      <c r="A226" t="s">
        <v>559</v>
      </c>
      <c r="B226" t="s">
        <v>1133</v>
      </c>
      <c r="C226" s="11">
        <v>0</v>
      </c>
      <c r="D226" s="12" t="e">
        <v>#N/A</v>
      </c>
      <c r="E226" s="11">
        <v>0</v>
      </c>
      <c r="F226" s="12" t="e">
        <v>#N/A</v>
      </c>
      <c r="G226" s="11">
        <v>0</v>
      </c>
      <c r="H226" s="12" t="e">
        <v>#N/A</v>
      </c>
      <c r="I226" s="11">
        <v>53671614.346688114</v>
      </c>
      <c r="J226" s="12">
        <v>4.1000000000000002E-2</v>
      </c>
    </row>
    <row r="227" spans="1:10" x14ac:dyDescent="0.2">
      <c r="A227" t="s">
        <v>397</v>
      </c>
      <c r="B227" t="s">
        <v>398</v>
      </c>
      <c r="C227" s="11">
        <v>0</v>
      </c>
      <c r="D227" s="12" t="e">
        <v>#N/A</v>
      </c>
      <c r="E227" s="11">
        <v>0</v>
      </c>
      <c r="F227" s="12" t="e">
        <v>#N/A</v>
      </c>
      <c r="G227" s="11">
        <v>0</v>
      </c>
      <c r="H227" s="12" t="e">
        <v>#N/A</v>
      </c>
      <c r="I227" s="11">
        <v>53133425.007807851</v>
      </c>
      <c r="J227" s="12">
        <v>4.2500000000000003E-2</v>
      </c>
    </row>
    <row r="228" spans="1:10" x14ac:dyDescent="0.2">
      <c r="A228" t="s">
        <v>242</v>
      </c>
      <c r="B228" t="s">
        <v>1437</v>
      </c>
      <c r="C228" s="11">
        <v>0</v>
      </c>
      <c r="D228" s="12" t="e">
        <v>#N/A</v>
      </c>
      <c r="E228" s="11">
        <v>0</v>
      </c>
      <c r="F228" s="12" t="e">
        <v>#N/A</v>
      </c>
      <c r="G228" s="11">
        <v>0</v>
      </c>
      <c r="H228" s="12" t="e">
        <v>#N/A</v>
      </c>
      <c r="I228" s="11">
        <v>52915384.900514714</v>
      </c>
      <c r="J228" s="12">
        <v>4.4999999999999998E-2</v>
      </c>
    </row>
    <row r="229" spans="1:10" x14ac:dyDescent="0.2">
      <c r="A229" t="s">
        <v>115</v>
      </c>
      <c r="B229" t="s">
        <v>116</v>
      </c>
      <c r="C229" s="11">
        <v>0</v>
      </c>
      <c r="D229" s="12" t="e">
        <v>#N/A</v>
      </c>
      <c r="E229" s="11">
        <v>0</v>
      </c>
      <c r="F229" s="12" t="e">
        <v>#N/A</v>
      </c>
      <c r="G229" s="11">
        <v>0</v>
      </c>
      <c r="H229" s="12" t="e">
        <v>#N/A</v>
      </c>
      <c r="I229" s="11">
        <v>52506174.89979364</v>
      </c>
      <c r="J229" s="12">
        <v>4.7500000000000001E-2</v>
      </c>
    </row>
    <row r="230" spans="1:10" x14ac:dyDescent="0.2">
      <c r="A230" t="s">
        <v>245</v>
      </c>
      <c r="B230" t="s">
        <v>246</v>
      </c>
      <c r="C230" s="11">
        <v>0</v>
      </c>
      <c r="D230" s="12" t="e">
        <v>#N/A</v>
      </c>
      <c r="E230" s="11">
        <v>0</v>
      </c>
      <c r="F230" s="12" t="e">
        <v>#N/A</v>
      </c>
      <c r="G230" s="11">
        <v>0</v>
      </c>
      <c r="H230" s="12" t="e">
        <v>#N/A</v>
      </c>
      <c r="I230" s="11">
        <v>50763234.473217815</v>
      </c>
      <c r="J230" s="12">
        <v>4.7500000000000001E-2</v>
      </c>
    </row>
    <row r="231" spans="1:10" x14ac:dyDescent="0.2">
      <c r="A231" t="s">
        <v>205</v>
      </c>
      <c r="B231" t="s">
        <v>1436</v>
      </c>
      <c r="C231" s="11">
        <v>0</v>
      </c>
      <c r="D231" s="12" t="e">
        <v>#N/A</v>
      </c>
      <c r="E231" s="11">
        <v>0</v>
      </c>
      <c r="F231" s="12" t="e">
        <v>#N/A</v>
      </c>
      <c r="G231" s="11">
        <v>0</v>
      </c>
      <c r="H231" s="12" t="e">
        <v>#N/A</v>
      </c>
      <c r="I231" s="11">
        <v>50754953.388705447</v>
      </c>
      <c r="J231" s="12">
        <v>4.3499999999999997E-2</v>
      </c>
    </row>
    <row r="232" spans="1:10" x14ac:dyDescent="0.2">
      <c r="A232" t="s">
        <v>214</v>
      </c>
      <c r="B232" t="s">
        <v>215</v>
      </c>
      <c r="C232" s="11">
        <v>0</v>
      </c>
      <c r="D232" s="12" t="e">
        <v>#N/A</v>
      </c>
      <c r="E232" s="11">
        <v>0</v>
      </c>
      <c r="F232" s="12" t="e">
        <v>#N/A</v>
      </c>
      <c r="G232" s="11">
        <v>0</v>
      </c>
      <c r="H232" s="12" t="e">
        <v>#N/A</v>
      </c>
      <c r="I232" s="11">
        <v>50563144.335524887</v>
      </c>
      <c r="J232" s="12">
        <v>4.2500000000000003E-2</v>
      </c>
    </row>
    <row r="233" spans="1:10" x14ac:dyDescent="0.2">
      <c r="A233" t="s">
        <v>33</v>
      </c>
      <c r="B233" t="s">
        <v>34</v>
      </c>
      <c r="C233" s="11">
        <v>0</v>
      </c>
      <c r="D233" s="12" t="e">
        <v>#N/A</v>
      </c>
      <c r="E233" s="11">
        <v>0</v>
      </c>
      <c r="F233" s="12" t="e">
        <v>#N/A</v>
      </c>
      <c r="G233" s="11">
        <v>0</v>
      </c>
      <c r="H233" s="12" t="e">
        <v>#N/A</v>
      </c>
      <c r="I233" s="11">
        <v>48268640.107363433</v>
      </c>
      <c r="J233" s="12">
        <v>4.2500000000000003E-2</v>
      </c>
    </row>
    <row r="234" spans="1:10" x14ac:dyDescent="0.2">
      <c r="A234" t="s">
        <v>227</v>
      </c>
      <c r="B234" t="s">
        <v>228</v>
      </c>
      <c r="C234" s="11">
        <v>0</v>
      </c>
      <c r="D234" s="12" t="e">
        <v>#N/A</v>
      </c>
      <c r="E234" s="11">
        <v>0</v>
      </c>
      <c r="F234" s="12" t="e">
        <v>#N/A</v>
      </c>
      <c r="G234" s="11">
        <v>0</v>
      </c>
      <c r="H234" s="12" t="e">
        <v>#N/A</v>
      </c>
      <c r="I234" s="11">
        <v>46831312.83310654</v>
      </c>
      <c r="J234" s="12">
        <v>4.3499999999999997E-2</v>
      </c>
    </row>
    <row r="235" spans="1:10" x14ac:dyDescent="0.2">
      <c r="A235" t="s">
        <v>174</v>
      </c>
      <c r="B235" t="s">
        <v>175</v>
      </c>
      <c r="C235" s="11">
        <v>0</v>
      </c>
      <c r="D235" s="12" t="e">
        <v>#N/A</v>
      </c>
      <c r="E235" s="11">
        <v>0</v>
      </c>
      <c r="F235" s="12" t="e">
        <v>#N/A</v>
      </c>
      <c r="G235" s="11">
        <v>0</v>
      </c>
      <c r="H235" s="12" t="e">
        <v>#N/A</v>
      </c>
      <c r="I235" s="11">
        <v>46586693.773586743</v>
      </c>
      <c r="J235" s="12">
        <v>4.4999999999999998E-2</v>
      </c>
    </row>
    <row r="236" spans="1:10" x14ac:dyDescent="0.2">
      <c r="A236" t="s">
        <v>276</v>
      </c>
      <c r="B236" t="s">
        <v>277</v>
      </c>
      <c r="C236" s="11">
        <v>0</v>
      </c>
      <c r="D236" s="12" t="e">
        <v>#N/A</v>
      </c>
      <c r="E236" s="11">
        <v>0</v>
      </c>
      <c r="F236" s="12" t="e">
        <v>#N/A</v>
      </c>
      <c r="G236" s="11">
        <v>0</v>
      </c>
      <c r="H236" s="12" t="e">
        <v>#N/A</v>
      </c>
      <c r="I236" s="11">
        <v>45205981.005488247</v>
      </c>
      <c r="J236" s="12">
        <v>4.9000000000000002E-2</v>
      </c>
    </row>
    <row r="237" spans="1:10" x14ac:dyDescent="0.2">
      <c r="A237" t="s">
        <v>600</v>
      </c>
      <c r="B237" t="s">
        <v>601</v>
      </c>
      <c r="C237" s="11">
        <v>0</v>
      </c>
      <c r="D237" s="12" t="e">
        <v>#N/A</v>
      </c>
      <c r="E237" s="11">
        <v>0</v>
      </c>
      <c r="F237" s="12" t="e">
        <v>#N/A</v>
      </c>
      <c r="G237" s="11">
        <v>0</v>
      </c>
      <c r="H237" s="12" t="e">
        <v>#N/A</v>
      </c>
      <c r="I237" s="11">
        <v>44405284.127653778</v>
      </c>
      <c r="J237" s="12">
        <v>4.1500000000000002E-2</v>
      </c>
    </row>
    <row r="238" spans="1:10" x14ac:dyDescent="0.2">
      <c r="A238" t="s">
        <v>28</v>
      </c>
      <c r="B238" t="s">
        <v>29</v>
      </c>
      <c r="C238" s="11">
        <v>0</v>
      </c>
      <c r="D238" s="12" t="e">
        <v>#N/A</v>
      </c>
      <c r="E238" s="11">
        <v>0</v>
      </c>
      <c r="F238" s="12" t="e">
        <v>#N/A</v>
      </c>
      <c r="G238" s="11">
        <v>0</v>
      </c>
      <c r="H238" s="12" t="e">
        <v>#N/A</v>
      </c>
      <c r="I238" s="11">
        <v>40287942.318730704</v>
      </c>
      <c r="J238" s="12">
        <v>0.04</v>
      </c>
    </row>
    <row r="239" spans="1:10" x14ac:dyDescent="0.2">
      <c r="A239" t="s">
        <v>238</v>
      </c>
      <c r="B239" t="s">
        <v>239</v>
      </c>
      <c r="C239" s="11">
        <v>0</v>
      </c>
      <c r="D239" s="12" t="e">
        <v>#N/A</v>
      </c>
      <c r="E239" s="11">
        <v>0</v>
      </c>
      <c r="F239" s="12" t="e">
        <v>#N/A</v>
      </c>
      <c r="G239" s="11">
        <v>0</v>
      </c>
      <c r="H239" s="12" t="e">
        <v>#N/A</v>
      </c>
      <c r="I239" s="11">
        <v>39830645.646859176</v>
      </c>
      <c r="J239" s="12">
        <v>4.2000000000000003E-2</v>
      </c>
    </row>
    <row r="240" spans="1:10" x14ac:dyDescent="0.2">
      <c r="A240" t="s">
        <v>96</v>
      </c>
      <c r="B240" t="s">
        <v>97</v>
      </c>
      <c r="C240" s="11">
        <v>0</v>
      </c>
      <c r="D240" s="12" t="e">
        <v>#N/A</v>
      </c>
      <c r="E240" s="11">
        <v>0</v>
      </c>
      <c r="F240" s="12" t="e">
        <v>#N/A</v>
      </c>
      <c r="G240" s="11">
        <v>0</v>
      </c>
      <c r="H240" s="12" t="e">
        <v>#N/A</v>
      </c>
      <c r="I240" s="11">
        <v>39811941.148559034</v>
      </c>
      <c r="J240" s="12">
        <v>4.1500000000000002E-2</v>
      </c>
    </row>
    <row r="241" spans="1:10" x14ac:dyDescent="0.2">
      <c r="A241" t="s">
        <v>446</v>
      </c>
      <c r="B241" t="s">
        <v>447</v>
      </c>
      <c r="C241" s="11">
        <v>0</v>
      </c>
      <c r="D241" s="12" t="e">
        <v>#N/A</v>
      </c>
      <c r="E241" s="11">
        <v>0</v>
      </c>
      <c r="F241" s="12" t="e">
        <v>#N/A</v>
      </c>
      <c r="G241" s="11">
        <v>0</v>
      </c>
      <c r="H241" s="12" t="e">
        <v>#N/A</v>
      </c>
      <c r="I241" s="11">
        <v>35938777.951315261</v>
      </c>
      <c r="J241" s="12">
        <v>4.3999999999999997E-2</v>
      </c>
    </row>
    <row r="242" spans="1:10" x14ac:dyDescent="0.2">
      <c r="A242" t="s">
        <v>542</v>
      </c>
      <c r="B242" t="s">
        <v>543</v>
      </c>
      <c r="C242" s="11">
        <v>0</v>
      </c>
      <c r="D242" s="12" t="e">
        <v>#N/A</v>
      </c>
      <c r="E242" s="11">
        <v>0</v>
      </c>
      <c r="F242" s="12" t="e">
        <v>#N/A</v>
      </c>
      <c r="G242" s="11">
        <v>0</v>
      </c>
      <c r="H242" s="12" t="e">
        <v>#N/A</v>
      </c>
      <c r="I242" s="11">
        <v>35124830.66275306</v>
      </c>
      <c r="J242" s="12">
        <v>4.2000000000000003E-2</v>
      </c>
    </row>
    <row r="243" spans="1:10" x14ac:dyDescent="0.2">
      <c r="A243" t="s">
        <v>591</v>
      </c>
      <c r="B243" t="s">
        <v>1085</v>
      </c>
      <c r="C243" s="11">
        <v>0</v>
      </c>
      <c r="D243" s="12" t="e">
        <v>#N/A</v>
      </c>
      <c r="E243" s="11">
        <v>0</v>
      </c>
      <c r="F243" s="12" t="e">
        <v>#N/A</v>
      </c>
      <c r="G243" s="11">
        <v>0</v>
      </c>
      <c r="H243" s="12" t="e">
        <v>#N/A</v>
      </c>
      <c r="I243" s="11">
        <v>34668240.942387849</v>
      </c>
      <c r="J243" s="12">
        <v>4.65E-2</v>
      </c>
    </row>
    <row r="244" spans="1:10" x14ac:dyDescent="0.2">
      <c r="A244" t="s">
        <v>499</v>
      </c>
      <c r="B244" t="s">
        <v>1440</v>
      </c>
      <c r="C244" s="11">
        <v>0</v>
      </c>
      <c r="D244" s="12" t="e">
        <v>#N/A</v>
      </c>
      <c r="E244" s="11">
        <v>0</v>
      </c>
      <c r="F244" s="12" t="e">
        <v>#N/A</v>
      </c>
      <c r="G244" s="11">
        <v>0</v>
      </c>
      <c r="H244" s="12">
        <v>0</v>
      </c>
      <c r="I244" s="11">
        <v>32230024.802879371</v>
      </c>
      <c r="J244" s="12">
        <v>4.3499999999999997E-2</v>
      </c>
    </row>
    <row r="245" spans="1:10" x14ac:dyDescent="0.2">
      <c r="A245" t="s">
        <v>198</v>
      </c>
      <c r="B245" t="s">
        <v>199</v>
      </c>
      <c r="C245" s="11">
        <v>0</v>
      </c>
      <c r="D245" s="12" t="e">
        <v>#N/A</v>
      </c>
      <c r="E245" s="11">
        <v>0</v>
      </c>
      <c r="F245" s="12" t="e">
        <v>#N/A</v>
      </c>
      <c r="G245" s="11">
        <v>0</v>
      </c>
      <c r="H245" s="12" t="e">
        <v>#N/A</v>
      </c>
      <c r="I245" s="11">
        <v>32033184.091993053</v>
      </c>
      <c r="J245" s="12">
        <v>4.2000000000000003E-2</v>
      </c>
    </row>
    <row r="246" spans="1:10" x14ac:dyDescent="0.2">
      <c r="A246" t="s">
        <v>505</v>
      </c>
      <c r="B246" t="s">
        <v>506</v>
      </c>
      <c r="C246" s="11">
        <v>0</v>
      </c>
      <c r="D246" s="12" t="e">
        <v>#N/A</v>
      </c>
      <c r="E246" s="11">
        <v>0</v>
      </c>
      <c r="F246" s="12" t="e">
        <v>#N/A</v>
      </c>
      <c r="G246" s="11">
        <v>0</v>
      </c>
      <c r="H246" s="12" t="e">
        <v>#N/A</v>
      </c>
      <c r="I246" s="11">
        <v>30459283.064713266</v>
      </c>
      <c r="J246" s="12">
        <v>4.65E-2</v>
      </c>
    </row>
    <row r="247" spans="1:10" x14ac:dyDescent="0.2">
      <c r="A247" t="s">
        <v>254</v>
      </c>
      <c r="B247" t="s">
        <v>255</v>
      </c>
      <c r="C247" s="11">
        <v>0</v>
      </c>
      <c r="D247" s="12" t="e">
        <v>#N/A</v>
      </c>
      <c r="E247" s="11">
        <v>0</v>
      </c>
      <c r="F247" s="12" t="e">
        <v>#N/A</v>
      </c>
      <c r="G247" s="11">
        <v>0</v>
      </c>
      <c r="H247" s="12" t="e">
        <v>#N/A</v>
      </c>
      <c r="I247" s="11">
        <v>29584594.750332676</v>
      </c>
      <c r="J247" s="12">
        <v>4.8000000000000001E-2</v>
      </c>
    </row>
    <row r="248" spans="1:10" x14ac:dyDescent="0.2">
      <c r="A248" t="s">
        <v>661</v>
      </c>
      <c r="B248" t="s">
        <v>662</v>
      </c>
      <c r="C248" s="11">
        <v>0</v>
      </c>
      <c r="D248" s="12" t="e">
        <v>#N/A</v>
      </c>
      <c r="E248" s="11">
        <v>0</v>
      </c>
      <c r="F248" s="12" t="e">
        <v>#N/A</v>
      </c>
      <c r="G248" s="11">
        <v>0</v>
      </c>
      <c r="H248" s="12" t="e">
        <v>#N/A</v>
      </c>
      <c r="I248" s="11">
        <v>26707032.323175713</v>
      </c>
      <c r="J248" s="12">
        <v>4.65E-2</v>
      </c>
    </row>
    <row r="249" spans="1:10" x14ac:dyDescent="0.2">
      <c r="A249" t="s">
        <v>637</v>
      </c>
      <c r="B249" t="s">
        <v>638</v>
      </c>
      <c r="C249" s="11">
        <v>0</v>
      </c>
      <c r="D249" s="12" t="e">
        <v>#N/A</v>
      </c>
      <c r="E249" s="11">
        <v>0</v>
      </c>
      <c r="F249" s="12" t="e">
        <v>#N/A</v>
      </c>
      <c r="G249" s="11">
        <v>0</v>
      </c>
      <c r="H249" s="12" t="e">
        <v>#N/A</v>
      </c>
      <c r="I249" s="11">
        <v>26408143.895733379</v>
      </c>
      <c r="J249" s="12">
        <v>4.2000000000000003E-2</v>
      </c>
    </row>
    <row r="250" spans="1:10" x14ac:dyDescent="0.2">
      <c r="A250" t="s">
        <v>58</v>
      </c>
      <c r="B250" t="s">
        <v>59</v>
      </c>
      <c r="C250" s="11">
        <v>0</v>
      </c>
      <c r="D250" s="12" t="e">
        <v>#N/A</v>
      </c>
      <c r="E250" s="11">
        <v>0</v>
      </c>
      <c r="F250" s="12" t="e">
        <v>#N/A</v>
      </c>
      <c r="G250" s="11">
        <v>0</v>
      </c>
      <c r="H250" s="12" t="e">
        <v>#N/A</v>
      </c>
      <c r="I250" s="11">
        <v>25824756.401338283</v>
      </c>
      <c r="J250" s="12">
        <v>4.3999999999999997E-2</v>
      </c>
    </row>
    <row r="251" spans="1:10" x14ac:dyDescent="0.2">
      <c r="A251" t="s">
        <v>48</v>
      </c>
      <c r="B251" t="s">
        <v>49</v>
      </c>
      <c r="C251" s="11">
        <v>0</v>
      </c>
      <c r="D251" s="12" t="e">
        <v>#N/A</v>
      </c>
      <c r="E251" s="11">
        <v>0</v>
      </c>
      <c r="F251" s="12" t="e">
        <v>#N/A</v>
      </c>
      <c r="G251" s="11">
        <v>0</v>
      </c>
      <c r="H251" s="12" t="e">
        <v>#N/A</v>
      </c>
      <c r="I251" s="11">
        <v>23191934.207444847</v>
      </c>
      <c r="J251" s="12">
        <v>4.2500000000000003E-2</v>
      </c>
    </row>
    <row r="252" spans="1:10" x14ac:dyDescent="0.2">
      <c r="A252" s="13" t="s">
        <v>107</v>
      </c>
      <c r="B252" s="13" t="s">
        <v>1438</v>
      </c>
      <c r="C252" s="14">
        <v>0</v>
      </c>
      <c r="D252" s="15" t="e">
        <v>#N/A</v>
      </c>
      <c r="E252" s="14">
        <v>0</v>
      </c>
      <c r="F252" s="15" t="e">
        <v>#N/A</v>
      </c>
      <c r="G252" s="14">
        <v>0</v>
      </c>
      <c r="H252" s="15" t="e">
        <v>#N/A</v>
      </c>
      <c r="I252" s="14">
        <v>20002541.441882093</v>
      </c>
      <c r="J252" s="15">
        <v>4.2500000000000003E-2</v>
      </c>
    </row>
  </sheetData>
  <sortState ref="A2:J252">
    <sortCondition descending="1" ref="C2:C252"/>
    <sortCondition descending="1" ref="E2:E252"/>
    <sortCondition descending="1" ref="G2:G252"/>
    <sortCondition descending="1" ref="I2:I25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29A50-8D1A-4967-87FD-88D00B218F20}">
  <dimension ref="A1:C252"/>
  <sheetViews>
    <sheetView workbookViewId="0"/>
  </sheetViews>
  <sheetFormatPr defaultRowHeight="12.75" x14ac:dyDescent="0.2"/>
  <cols>
    <col min="1" max="1" width="6.42578125" bestFit="1" customWidth="1"/>
    <col min="2" max="2" width="32" bestFit="1" customWidth="1"/>
    <col min="3" max="3" width="32" customWidth="1"/>
    <col min="4" max="4" width="11.7109375" customWidth="1"/>
  </cols>
  <sheetData>
    <row r="1" spans="1:3" ht="25.15" customHeight="1" x14ac:dyDescent="0.2">
      <c r="A1" s="4" t="s">
        <v>768</v>
      </c>
      <c r="B1" s="4" t="s">
        <v>767</v>
      </c>
      <c r="C1" s="4" t="s">
        <v>1347</v>
      </c>
    </row>
    <row r="2" spans="1:3" x14ac:dyDescent="0.2">
      <c r="A2" s="1" t="s">
        <v>179</v>
      </c>
      <c r="B2" s="1" t="s">
        <v>180</v>
      </c>
      <c r="C2" s="1" t="s">
        <v>1523</v>
      </c>
    </row>
    <row r="3" spans="1:3" x14ac:dyDescent="0.2">
      <c r="A3" s="1" t="s">
        <v>205</v>
      </c>
      <c r="B3" s="1" t="s">
        <v>1119</v>
      </c>
      <c r="C3" s="1" t="s">
        <v>1349</v>
      </c>
    </row>
    <row r="4" spans="1:3" x14ac:dyDescent="0.2">
      <c r="A4" s="1" t="s">
        <v>334</v>
      </c>
      <c r="B4" s="1" t="s">
        <v>335</v>
      </c>
      <c r="C4" s="1" t="s">
        <v>1524</v>
      </c>
    </row>
    <row r="5" spans="1:3" x14ac:dyDescent="0.2">
      <c r="A5" s="1" t="s">
        <v>214</v>
      </c>
      <c r="B5" s="1" t="s">
        <v>215</v>
      </c>
      <c r="C5" s="1" t="s">
        <v>1351</v>
      </c>
    </row>
    <row r="6" spans="1:3" x14ac:dyDescent="0.2">
      <c r="A6" s="1" t="s">
        <v>92</v>
      </c>
      <c r="B6" s="1" t="s">
        <v>93</v>
      </c>
      <c r="C6" s="1" t="s">
        <v>1525</v>
      </c>
    </row>
    <row r="7" spans="1:3" x14ac:dyDescent="0.2">
      <c r="A7" s="1" t="s">
        <v>189</v>
      </c>
      <c r="B7" s="1" t="s">
        <v>922</v>
      </c>
      <c r="C7" s="1" t="s">
        <v>1352</v>
      </c>
    </row>
    <row r="8" spans="1:3" x14ac:dyDescent="0.2">
      <c r="A8" s="1" t="s">
        <v>582</v>
      </c>
      <c r="B8" s="1" t="s">
        <v>1109</v>
      </c>
      <c r="C8" s="1" t="s">
        <v>1353</v>
      </c>
    </row>
    <row r="9" spans="1:3" x14ac:dyDescent="0.2">
      <c r="A9" s="1" t="s">
        <v>499</v>
      </c>
      <c r="B9" s="1" t="s">
        <v>935</v>
      </c>
      <c r="C9" s="1" t="s">
        <v>1526</v>
      </c>
    </row>
    <row r="10" spans="1:3" x14ac:dyDescent="0.2">
      <c r="A10" s="1" t="s">
        <v>242</v>
      </c>
      <c r="B10" s="1" t="s">
        <v>1124</v>
      </c>
      <c r="C10" s="1" t="s">
        <v>1348</v>
      </c>
    </row>
    <row r="11" spans="1:3" x14ac:dyDescent="0.2">
      <c r="A11" s="1" t="s">
        <v>540</v>
      </c>
      <c r="B11" s="1" t="s">
        <v>541</v>
      </c>
      <c r="C11" s="1" t="s">
        <v>1354</v>
      </c>
    </row>
    <row r="12" spans="1:3" x14ac:dyDescent="0.2">
      <c r="A12" s="1" t="s">
        <v>7</v>
      </c>
      <c r="B12" s="1" t="s">
        <v>8</v>
      </c>
      <c r="C12" s="1" t="s">
        <v>1352</v>
      </c>
    </row>
    <row r="13" spans="1:3" x14ac:dyDescent="0.2">
      <c r="A13" s="1" t="s">
        <v>566</v>
      </c>
      <c r="B13" s="1" t="s">
        <v>780</v>
      </c>
      <c r="C13" s="1" t="s">
        <v>1525</v>
      </c>
    </row>
    <row r="14" spans="1:3" x14ac:dyDescent="0.2">
      <c r="A14" s="1" t="s">
        <v>76</v>
      </c>
      <c r="B14" s="1" t="s">
        <v>993</v>
      </c>
      <c r="C14" s="1" t="s">
        <v>1363</v>
      </c>
    </row>
    <row r="15" spans="1:3" x14ac:dyDescent="0.2">
      <c r="A15" s="1" t="s">
        <v>41</v>
      </c>
      <c r="B15" s="1" t="s">
        <v>42</v>
      </c>
      <c r="C15" s="1" t="s">
        <v>1358</v>
      </c>
    </row>
    <row r="16" spans="1:3" x14ac:dyDescent="0.2">
      <c r="A16" s="1" t="s">
        <v>136</v>
      </c>
      <c r="B16" s="1" t="s">
        <v>137</v>
      </c>
      <c r="C16" s="1" t="s">
        <v>1527</v>
      </c>
    </row>
    <row r="17" spans="1:3" x14ac:dyDescent="0.2">
      <c r="A17" s="1" t="s">
        <v>103</v>
      </c>
      <c r="B17" s="1" t="s">
        <v>891</v>
      </c>
      <c r="C17" s="1" t="s">
        <v>1367</v>
      </c>
    </row>
    <row r="18" spans="1:3" x14ac:dyDescent="0.2">
      <c r="A18" s="1" t="s">
        <v>142</v>
      </c>
      <c r="B18" s="1" t="s">
        <v>946</v>
      </c>
      <c r="C18" s="1" t="s">
        <v>1528</v>
      </c>
    </row>
    <row r="19" spans="1:3" x14ac:dyDescent="0.2">
      <c r="A19" s="1" t="s">
        <v>111</v>
      </c>
      <c r="B19" s="1" t="s">
        <v>112</v>
      </c>
      <c r="C19" s="1" t="s">
        <v>1356</v>
      </c>
    </row>
    <row r="20" spans="1:3" x14ac:dyDescent="0.2">
      <c r="A20" s="1" t="s">
        <v>134</v>
      </c>
      <c r="B20" s="1" t="s">
        <v>1129</v>
      </c>
      <c r="C20" s="1" t="s">
        <v>1353</v>
      </c>
    </row>
    <row r="21" spans="1:3" x14ac:dyDescent="0.2">
      <c r="A21" s="1" t="s">
        <v>133</v>
      </c>
      <c r="B21" s="1" t="s">
        <v>1117</v>
      </c>
      <c r="C21" s="1" t="s">
        <v>1349</v>
      </c>
    </row>
    <row r="22" spans="1:3" x14ac:dyDescent="0.2">
      <c r="A22" s="1" t="s">
        <v>96</v>
      </c>
      <c r="B22" s="1" t="s">
        <v>97</v>
      </c>
      <c r="C22" s="1" t="s">
        <v>1524</v>
      </c>
    </row>
    <row r="23" spans="1:3" x14ac:dyDescent="0.2">
      <c r="A23" s="1" t="s">
        <v>177</v>
      </c>
      <c r="B23" s="1" t="s">
        <v>1076</v>
      </c>
      <c r="C23" s="1" t="s">
        <v>1355</v>
      </c>
    </row>
    <row r="24" spans="1:3" x14ac:dyDescent="0.2">
      <c r="A24" s="1" t="s">
        <v>171</v>
      </c>
      <c r="B24" s="1" t="s">
        <v>1120</v>
      </c>
      <c r="C24" s="1" t="s">
        <v>1353</v>
      </c>
    </row>
    <row r="25" spans="1:3" x14ac:dyDescent="0.2">
      <c r="A25" s="1" t="s">
        <v>46</v>
      </c>
      <c r="B25" s="1" t="s">
        <v>1015</v>
      </c>
      <c r="C25" s="1" t="s">
        <v>1354</v>
      </c>
    </row>
    <row r="26" spans="1:3" x14ac:dyDescent="0.2">
      <c r="A26" s="1" t="s">
        <v>154</v>
      </c>
      <c r="B26" s="1" t="s">
        <v>155</v>
      </c>
      <c r="C26" s="1" t="s">
        <v>1357</v>
      </c>
    </row>
    <row r="27" spans="1:3" x14ac:dyDescent="0.2">
      <c r="A27" s="1" t="s">
        <v>144</v>
      </c>
      <c r="B27" s="1" t="s">
        <v>994</v>
      </c>
      <c r="C27" s="1" t="s">
        <v>1355</v>
      </c>
    </row>
    <row r="28" spans="1:3" x14ac:dyDescent="0.2">
      <c r="A28" s="1" t="s">
        <v>465</v>
      </c>
      <c r="B28" s="1" t="s">
        <v>466</v>
      </c>
      <c r="C28" s="1" t="s">
        <v>1348</v>
      </c>
    </row>
    <row r="29" spans="1:3" x14ac:dyDescent="0.2">
      <c r="A29" s="1" t="s">
        <v>210</v>
      </c>
      <c r="B29" s="1" t="s">
        <v>211</v>
      </c>
      <c r="C29" s="1" t="s">
        <v>1361</v>
      </c>
    </row>
    <row r="30" spans="1:3" x14ac:dyDescent="0.2">
      <c r="A30" s="1" t="s">
        <v>234</v>
      </c>
      <c r="B30" s="1" t="s">
        <v>1086</v>
      </c>
      <c r="C30" s="1" t="s">
        <v>1359</v>
      </c>
    </row>
    <row r="31" spans="1:3" x14ac:dyDescent="0.2">
      <c r="A31" s="1" t="s">
        <v>446</v>
      </c>
      <c r="B31" s="1" t="s">
        <v>447</v>
      </c>
      <c r="C31" s="1" t="s">
        <v>1350</v>
      </c>
    </row>
    <row r="32" spans="1:3" x14ac:dyDescent="0.2">
      <c r="A32" s="1" t="s">
        <v>268</v>
      </c>
      <c r="B32" s="1" t="s">
        <v>269</v>
      </c>
      <c r="C32" s="1" t="s">
        <v>1349</v>
      </c>
    </row>
    <row r="33" spans="1:3" x14ac:dyDescent="0.2">
      <c r="A33" s="1" t="s">
        <v>248</v>
      </c>
      <c r="B33" s="1" t="s">
        <v>249</v>
      </c>
      <c r="C33" s="1" t="s">
        <v>1353</v>
      </c>
    </row>
    <row r="34" spans="1:3" x14ac:dyDescent="0.2">
      <c r="A34" s="1" t="s">
        <v>278</v>
      </c>
      <c r="B34" s="1" t="s">
        <v>1046</v>
      </c>
      <c r="C34" s="1" t="s">
        <v>1361</v>
      </c>
    </row>
    <row r="35" spans="1:3" x14ac:dyDescent="0.2">
      <c r="A35" s="1" t="s">
        <v>284</v>
      </c>
      <c r="B35" s="1" t="s">
        <v>285</v>
      </c>
      <c r="C35" s="1" t="s">
        <v>1348</v>
      </c>
    </row>
    <row r="36" spans="1:3" x14ac:dyDescent="0.2">
      <c r="A36" s="1" t="s">
        <v>295</v>
      </c>
      <c r="B36" s="1" t="s">
        <v>296</v>
      </c>
      <c r="C36" s="1" t="s">
        <v>1351</v>
      </c>
    </row>
    <row r="37" spans="1:3" x14ac:dyDescent="0.2">
      <c r="A37" s="1" t="s">
        <v>297</v>
      </c>
      <c r="B37" s="1" t="s">
        <v>298</v>
      </c>
      <c r="C37" s="1" t="s">
        <v>1350</v>
      </c>
    </row>
    <row r="38" spans="1:3" x14ac:dyDescent="0.2">
      <c r="A38" s="1" t="s">
        <v>286</v>
      </c>
      <c r="B38" s="1" t="s">
        <v>287</v>
      </c>
      <c r="C38" s="1" t="s">
        <v>1362</v>
      </c>
    </row>
    <row r="39" spans="1:3" x14ac:dyDescent="0.2">
      <c r="A39" s="1" t="s">
        <v>288</v>
      </c>
      <c r="B39" s="1" t="s">
        <v>1131</v>
      </c>
      <c r="C39" s="1" t="s">
        <v>1353</v>
      </c>
    </row>
    <row r="40" spans="1:3" x14ac:dyDescent="0.2">
      <c r="A40" s="1" t="s">
        <v>531</v>
      </c>
      <c r="B40" s="1" t="s">
        <v>532</v>
      </c>
      <c r="C40" s="1" t="s">
        <v>1528</v>
      </c>
    </row>
    <row r="41" spans="1:3" x14ac:dyDescent="0.2">
      <c r="A41" s="1" t="s">
        <v>349</v>
      </c>
      <c r="B41" s="1" t="s">
        <v>1034</v>
      </c>
      <c r="C41" s="1" t="s">
        <v>1529</v>
      </c>
    </row>
    <row r="42" spans="1:3" x14ac:dyDescent="0.2">
      <c r="A42" s="1" t="s">
        <v>329</v>
      </c>
      <c r="B42" s="1" t="s">
        <v>1009</v>
      </c>
      <c r="C42" s="1" t="s">
        <v>1363</v>
      </c>
    </row>
    <row r="43" spans="1:3" x14ac:dyDescent="0.2">
      <c r="A43" s="1" t="s">
        <v>351</v>
      </c>
      <c r="B43" s="1" t="s">
        <v>352</v>
      </c>
      <c r="C43" s="1" t="s">
        <v>1349</v>
      </c>
    </row>
    <row r="44" spans="1:3" x14ac:dyDescent="0.2">
      <c r="A44" s="1" t="s">
        <v>358</v>
      </c>
      <c r="B44" s="1" t="s">
        <v>359</v>
      </c>
      <c r="C44" s="1" t="s">
        <v>1360</v>
      </c>
    </row>
    <row r="45" spans="1:3" x14ac:dyDescent="0.2">
      <c r="A45" s="1" t="s">
        <v>322</v>
      </c>
      <c r="B45" s="1" t="s">
        <v>1284</v>
      </c>
      <c r="C45" s="1" t="s">
        <v>1530</v>
      </c>
    </row>
    <row r="46" spans="1:3" x14ac:dyDescent="0.2">
      <c r="A46" s="1" t="s">
        <v>401</v>
      </c>
      <c r="B46" s="1" t="s">
        <v>979</v>
      </c>
      <c r="C46" s="1" t="s">
        <v>1524</v>
      </c>
    </row>
    <row r="47" spans="1:3" x14ac:dyDescent="0.2">
      <c r="A47" s="1" t="s">
        <v>337</v>
      </c>
      <c r="B47" s="1" t="s">
        <v>1002</v>
      </c>
      <c r="C47" s="1" t="s">
        <v>1355</v>
      </c>
    </row>
    <row r="48" spans="1:3" x14ac:dyDescent="0.2">
      <c r="A48" s="1" t="s">
        <v>383</v>
      </c>
      <c r="B48" s="1" t="s">
        <v>384</v>
      </c>
      <c r="C48" s="1" t="s">
        <v>1531</v>
      </c>
    </row>
    <row r="49" spans="1:3" x14ac:dyDescent="0.2">
      <c r="A49" s="1" t="s">
        <v>588</v>
      </c>
      <c r="B49" s="1" t="s">
        <v>977</v>
      </c>
      <c r="C49" s="1" t="s">
        <v>1350</v>
      </c>
    </row>
    <row r="50" spans="1:3" x14ac:dyDescent="0.2">
      <c r="A50" s="1" t="s">
        <v>404</v>
      </c>
      <c r="B50" s="1" t="s">
        <v>405</v>
      </c>
      <c r="C50" s="1" t="s">
        <v>1361</v>
      </c>
    </row>
    <row r="51" spans="1:3" x14ac:dyDescent="0.2">
      <c r="A51" s="1" t="s">
        <v>385</v>
      </c>
      <c r="B51" s="1" t="s">
        <v>386</v>
      </c>
      <c r="C51" s="1" t="s">
        <v>1355</v>
      </c>
    </row>
    <row r="52" spans="1:3" x14ac:dyDescent="0.2">
      <c r="A52" s="1" t="s">
        <v>380</v>
      </c>
      <c r="B52" s="1" t="s">
        <v>941</v>
      </c>
      <c r="C52" s="1" t="s">
        <v>1359</v>
      </c>
    </row>
    <row r="53" spans="1:3" x14ac:dyDescent="0.2">
      <c r="A53" s="1" t="s">
        <v>394</v>
      </c>
      <c r="B53" s="1" t="s">
        <v>395</v>
      </c>
      <c r="C53" s="1" t="s">
        <v>1358</v>
      </c>
    </row>
    <row r="54" spans="1:3" x14ac:dyDescent="0.2">
      <c r="A54" s="1" t="s">
        <v>399</v>
      </c>
      <c r="B54" s="1" t="s">
        <v>1062</v>
      </c>
      <c r="C54" s="1" t="s">
        <v>1356</v>
      </c>
    </row>
    <row r="55" spans="1:3" x14ac:dyDescent="0.2">
      <c r="A55" s="1" t="s">
        <v>416</v>
      </c>
      <c r="B55" s="1" t="s">
        <v>848</v>
      </c>
      <c r="C55" s="1" t="s">
        <v>1527</v>
      </c>
    </row>
    <row r="56" spans="1:3" x14ac:dyDescent="0.2">
      <c r="A56" s="1" t="s">
        <v>462</v>
      </c>
      <c r="B56" s="1" t="s">
        <v>943</v>
      </c>
      <c r="C56" s="1" t="s">
        <v>1359</v>
      </c>
    </row>
    <row r="57" spans="1:3" x14ac:dyDescent="0.2">
      <c r="A57" s="1" t="s">
        <v>450</v>
      </c>
      <c r="B57" s="1" t="s">
        <v>1111</v>
      </c>
      <c r="C57" s="1" t="s">
        <v>1353</v>
      </c>
    </row>
    <row r="58" spans="1:3" x14ac:dyDescent="0.2">
      <c r="A58" s="1" t="s">
        <v>468</v>
      </c>
      <c r="B58" s="1" t="s">
        <v>1012</v>
      </c>
      <c r="C58" s="1" t="s">
        <v>1532</v>
      </c>
    </row>
    <row r="59" spans="1:3" x14ac:dyDescent="0.2">
      <c r="A59" s="1" t="s">
        <v>14</v>
      </c>
      <c r="B59" s="1" t="s">
        <v>15</v>
      </c>
      <c r="C59" s="1" t="s">
        <v>1530</v>
      </c>
    </row>
    <row r="60" spans="1:3" x14ac:dyDescent="0.2">
      <c r="A60" s="1" t="s">
        <v>107</v>
      </c>
      <c r="B60" s="1" t="s">
        <v>1144</v>
      </c>
      <c r="C60" s="1" t="s">
        <v>1365</v>
      </c>
    </row>
    <row r="61" spans="1:3" x14ac:dyDescent="0.2">
      <c r="A61" s="1" t="s">
        <v>372</v>
      </c>
      <c r="B61" s="1" t="s">
        <v>839</v>
      </c>
      <c r="C61" s="1" t="s">
        <v>1525</v>
      </c>
    </row>
    <row r="62" spans="1:3" x14ac:dyDescent="0.2">
      <c r="A62" s="1" t="s">
        <v>402</v>
      </c>
      <c r="B62" s="1" t="s">
        <v>403</v>
      </c>
      <c r="C62" s="1" t="s">
        <v>1360</v>
      </c>
    </row>
    <row r="63" spans="1:3" x14ac:dyDescent="0.2">
      <c r="A63" s="1" t="s">
        <v>454</v>
      </c>
      <c r="B63" s="1" t="s">
        <v>455</v>
      </c>
      <c r="C63" s="1" t="s">
        <v>1533</v>
      </c>
    </row>
    <row r="64" spans="1:3" x14ac:dyDescent="0.2">
      <c r="A64" s="1" t="s">
        <v>3</v>
      </c>
      <c r="B64" s="1" t="s">
        <v>4</v>
      </c>
      <c r="C64" s="1" t="s">
        <v>1525</v>
      </c>
    </row>
    <row r="65" spans="1:3" x14ac:dyDescent="0.2">
      <c r="A65" s="1" t="s">
        <v>583</v>
      </c>
      <c r="B65" s="1" t="s">
        <v>1036</v>
      </c>
      <c r="C65" s="1" t="s">
        <v>1529</v>
      </c>
    </row>
    <row r="66" spans="1:3" x14ac:dyDescent="0.2">
      <c r="A66" s="1" t="s">
        <v>525</v>
      </c>
      <c r="B66" s="1" t="s">
        <v>526</v>
      </c>
      <c r="C66" s="1" t="s">
        <v>1366</v>
      </c>
    </row>
    <row r="67" spans="1:3" x14ac:dyDescent="0.2">
      <c r="A67" s="1" t="s">
        <v>417</v>
      </c>
      <c r="B67" s="1" t="s">
        <v>418</v>
      </c>
      <c r="C67" s="1" t="s">
        <v>1349</v>
      </c>
    </row>
    <row r="68" spans="1:3" x14ac:dyDescent="0.2">
      <c r="A68" s="1" t="s">
        <v>553</v>
      </c>
      <c r="B68" s="1" t="s">
        <v>554</v>
      </c>
      <c r="C68" s="1" t="s">
        <v>1527</v>
      </c>
    </row>
    <row r="69" spans="1:3" x14ac:dyDescent="0.2">
      <c r="A69" s="1" t="s">
        <v>496</v>
      </c>
      <c r="B69" s="1" t="s">
        <v>497</v>
      </c>
      <c r="C69" s="1" t="s">
        <v>1531</v>
      </c>
    </row>
    <row r="70" spans="1:3" x14ac:dyDescent="0.2">
      <c r="A70" s="1" t="s">
        <v>535</v>
      </c>
      <c r="B70" s="1" t="s">
        <v>536</v>
      </c>
      <c r="C70" s="1" t="s">
        <v>1358</v>
      </c>
    </row>
    <row r="71" spans="1:3" x14ac:dyDescent="0.2">
      <c r="A71" s="1" t="s">
        <v>555</v>
      </c>
      <c r="B71" s="1" t="s">
        <v>1064</v>
      </c>
      <c r="C71" s="1" t="s">
        <v>1356</v>
      </c>
    </row>
    <row r="72" spans="1:3" x14ac:dyDescent="0.2">
      <c r="A72" s="1" t="s">
        <v>520</v>
      </c>
      <c r="B72" s="1" t="s">
        <v>1149</v>
      </c>
      <c r="C72" s="1" t="s">
        <v>1534</v>
      </c>
    </row>
    <row r="73" spans="1:3" x14ac:dyDescent="0.2">
      <c r="A73" s="1" t="s">
        <v>522</v>
      </c>
      <c r="B73" s="1" t="s">
        <v>523</v>
      </c>
      <c r="C73" s="1" t="s">
        <v>1353</v>
      </c>
    </row>
    <row r="74" spans="1:3" x14ac:dyDescent="0.2">
      <c r="A74" s="1" t="s">
        <v>551</v>
      </c>
      <c r="B74" s="1" t="s">
        <v>552</v>
      </c>
      <c r="C74" s="1" t="s">
        <v>1349</v>
      </c>
    </row>
    <row r="75" spans="1:3" x14ac:dyDescent="0.2">
      <c r="A75" s="1" t="s">
        <v>549</v>
      </c>
      <c r="B75" s="1" t="s">
        <v>550</v>
      </c>
      <c r="C75" s="1" t="s">
        <v>1367</v>
      </c>
    </row>
    <row r="76" spans="1:3" x14ac:dyDescent="0.2">
      <c r="A76" s="1" t="s">
        <v>181</v>
      </c>
      <c r="B76" s="1" t="s">
        <v>182</v>
      </c>
      <c r="C76" s="1" t="s">
        <v>1356</v>
      </c>
    </row>
    <row r="77" spans="1:3" x14ac:dyDescent="0.2">
      <c r="A77" s="1" t="s">
        <v>366</v>
      </c>
      <c r="B77" s="1" t="s">
        <v>1151</v>
      </c>
      <c r="C77" s="1" t="s">
        <v>1349</v>
      </c>
    </row>
    <row r="78" spans="1:3" x14ac:dyDescent="0.2">
      <c r="A78" s="1" t="s">
        <v>440</v>
      </c>
      <c r="B78" s="1" t="s">
        <v>1102</v>
      </c>
      <c r="C78" s="1" t="s">
        <v>1348</v>
      </c>
    </row>
    <row r="79" spans="1:3" x14ac:dyDescent="0.2">
      <c r="A79" s="1" t="s">
        <v>85</v>
      </c>
      <c r="B79" s="1" t="s">
        <v>888</v>
      </c>
      <c r="C79" s="1" t="s">
        <v>1367</v>
      </c>
    </row>
    <row r="80" spans="1:3" x14ac:dyDescent="0.2">
      <c r="A80" s="1" t="s">
        <v>118</v>
      </c>
      <c r="B80" s="1" t="s">
        <v>861</v>
      </c>
      <c r="C80" s="1" t="s">
        <v>1367</v>
      </c>
    </row>
    <row r="81" spans="1:3" x14ac:dyDescent="0.2">
      <c r="A81" s="1" t="s">
        <v>654</v>
      </c>
      <c r="B81" s="1" t="s">
        <v>836</v>
      </c>
      <c r="C81" s="1" t="s">
        <v>1364</v>
      </c>
    </row>
    <row r="82" spans="1:3" x14ac:dyDescent="0.2">
      <c r="A82" s="1" t="s">
        <v>603</v>
      </c>
      <c r="B82" s="1" t="s">
        <v>604</v>
      </c>
      <c r="C82" s="1" t="s">
        <v>1361</v>
      </c>
    </row>
    <row r="83" spans="1:3" x14ac:dyDescent="0.2">
      <c r="A83" s="1" t="s">
        <v>598</v>
      </c>
      <c r="B83" s="1" t="s">
        <v>599</v>
      </c>
      <c r="C83" s="1" t="s">
        <v>1355</v>
      </c>
    </row>
    <row r="84" spans="1:3" x14ac:dyDescent="0.2">
      <c r="A84" s="1" t="s">
        <v>423</v>
      </c>
      <c r="B84" s="1" t="s">
        <v>1007</v>
      </c>
      <c r="C84" s="1" t="s">
        <v>1355</v>
      </c>
    </row>
    <row r="85" spans="1:3" x14ac:dyDescent="0.2">
      <c r="A85" s="1" t="s">
        <v>632</v>
      </c>
      <c r="B85" s="1" t="s">
        <v>633</v>
      </c>
      <c r="C85" s="1" t="s">
        <v>1533</v>
      </c>
    </row>
    <row r="86" spans="1:3" x14ac:dyDescent="0.2">
      <c r="A86" s="1" t="s">
        <v>374</v>
      </c>
      <c r="B86" s="1" t="s">
        <v>1010</v>
      </c>
      <c r="C86" s="1" t="s">
        <v>1532</v>
      </c>
    </row>
    <row r="87" spans="1:3" x14ac:dyDescent="0.2">
      <c r="A87" s="1" t="s">
        <v>487</v>
      </c>
      <c r="B87" s="1" t="s">
        <v>791</v>
      </c>
      <c r="C87" s="1" t="s">
        <v>1525</v>
      </c>
    </row>
    <row r="88" spans="1:3" x14ac:dyDescent="0.2">
      <c r="A88" s="1" t="s">
        <v>227</v>
      </c>
      <c r="B88" s="1" t="s">
        <v>228</v>
      </c>
      <c r="C88" s="1" t="s">
        <v>1348</v>
      </c>
    </row>
    <row r="89" spans="1:3" x14ac:dyDescent="0.2">
      <c r="A89" s="1" t="s">
        <v>665</v>
      </c>
      <c r="B89" s="1" t="s">
        <v>666</v>
      </c>
      <c r="C89" s="1" t="s">
        <v>1348</v>
      </c>
    </row>
    <row r="90" spans="1:3" x14ac:dyDescent="0.2">
      <c r="A90" s="1" t="s">
        <v>648</v>
      </c>
      <c r="B90" s="1" t="s">
        <v>1112</v>
      </c>
      <c r="C90" s="1" t="s">
        <v>1353</v>
      </c>
    </row>
    <row r="91" spans="1:3" x14ac:dyDescent="0.2">
      <c r="A91" s="1" t="s">
        <v>650</v>
      </c>
      <c r="B91" s="1" t="s">
        <v>816</v>
      </c>
      <c r="C91" s="1" t="s">
        <v>1352</v>
      </c>
    </row>
    <row r="92" spans="1:3" x14ac:dyDescent="0.2">
      <c r="A92" s="1" t="s">
        <v>644</v>
      </c>
      <c r="B92" s="1" t="s">
        <v>645</v>
      </c>
      <c r="C92" s="1" t="s">
        <v>1359</v>
      </c>
    </row>
    <row r="93" spans="1:3" x14ac:dyDescent="0.2">
      <c r="A93" s="1" t="s">
        <v>652</v>
      </c>
      <c r="B93" s="1" t="s">
        <v>653</v>
      </c>
      <c r="C93" s="1" t="s">
        <v>1365</v>
      </c>
    </row>
    <row r="94" spans="1:3" x14ac:dyDescent="0.2">
      <c r="A94" s="1" t="s">
        <v>657</v>
      </c>
      <c r="B94" s="1" t="s">
        <v>658</v>
      </c>
      <c r="C94" s="1" t="s">
        <v>1529</v>
      </c>
    </row>
    <row r="95" spans="1:3" x14ac:dyDescent="0.2">
      <c r="A95" s="1" t="s">
        <v>663</v>
      </c>
      <c r="B95" s="1" t="s">
        <v>664</v>
      </c>
      <c r="C95" s="1" t="s">
        <v>1527</v>
      </c>
    </row>
    <row r="96" spans="1:3" x14ac:dyDescent="0.2">
      <c r="A96" s="1" t="s">
        <v>320</v>
      </c>
      <c r="B96" s="1" t="s">
        <v>982</v>
      </c>
      <c r="C96" s="1" t="s">
        <v>1360</v>
      </c>
    </row>
    <row r="97" spans="1:3" x14ac:dyDescent="0.2">
      <c r="A97" s="1" t="s">
        <v>194</v>
      </c>
      <c r="B97" s="1" t="s">
        <v>868</v>
      </c>
      <c r="C97" s="1" t="s">
        <v>1362</v>
      </c>
    </row>
    <row r="98" spans="1:3" x14ac:dyDescent="0.2">
      <c r="A98" s="1" t="s">
        <v>576</v>
      </c>
      <c r="B98" s="1" t="s">
        <v>872</v>
      </c>
      <c r="C98" s="1" t="s">
        <v>1366</v>
      </c>
    </row>
    <row r="99" spans="1:3" x14ac:dyDescent="0.2">
      <c r="A99" s="1" t="s">
        <v>306</v>
      </c>
      <c r="B99" s="1" t="s">
        <v>307</v>
      </c>
      <c r="C99" s="1" t="s">
        <v>1366</v>
      </c>
    </row>
    <row r="100" spans="1:3" x14ac:dyDescent="0.2">
      <c r="A100" s="1" t="s">
        <v>613</v>
      </c>
      <c r="B100" s="1" t="s">
        <v>614</v>
      </c>
      <c r="C100" s="1" t="s">
        <v>1527</v>
      </c>
    </row>
    <row r="101" spans="1:3" x14ac:dyDescent="0.2">
      <c r="A101" s="1" t="s">
        <v>101</v>
      </c>
      <c r="B101" s="1" t="s">
        <v>102</v>
      </c>
      <c r="C101" s="1" t="s">
        <v>1528</v>
      </c>
    </row>
    <row r="102" spans="1:3" x14ac:dyDescent="0.2">
      <c r="A102" s="1" t="s">
        <v>716</v>
      </c>
      <c r="B102" s="1" t="s">
        <v>1069</v>
      </c>
      <c r="C102" s="1">
        <v>0</v>
      </c>
    </row>
    <row r="103" spans="1:3" x14ac:dyDescent="0.2">
      <c r="A103" s="1" t="s">
        <v>271</v>
      </c>
      <c r="B103" s="1" t="s">
        <v>272</v>
      </c>
      <c r="C103" s="1" t="s">
        <v>1351</v>
      </c>
    </row>
    <row r="104" spans="1:3" x14ac:dyDescent="0.2">
      <c r="A104" s="1" t="s">
        <v>529</v>
      </c>
      <c r="B104" s="1" t="s">
        <v>668</v>
      </c>
      <c r="C104" s="1">
        <v>0</v>
      </c>
    </row>
    <row r="105" spans="1:3" x14ac:dyDescent="0.2">
      <c r="A105" s="1" t="s">
        <v>70</v>
      </c>
      <c r="B105" s="1" t="s">
        <v>71</v>
      </c>
      <c r="C105" s="1" t="s">
        <v>1526</v>
      </c>
    </row>
    <row r="106" spans="1:3" x14ac:dyDescent="0.2">
      <c r="A106" s="1" t="s">
        <v>184</v>
      </c>
      <c r="B106" s="1" t="s">
        <v>185</v>
      </c>
      <c r="C106" s="1" t="s">
        <v>1352</v>
      </c>
    </row>
    <row r="107" spans="1:3" x14ac:dyDescent="0.2">
      <c r="A107" s="1" t="s">
        <v>33</v>
      </c>
      <c r="B107" s="1" t="s">
        <v>34</v>
      </c>
      <c r="C107" s="1" t="s">
        <v>1526</v>
      </c>
    </row>
    <row r="108" spans="1:3" x14ac:dyDescent="0.2">
      <c r="A108" s="1" t="s">
        <v>427</v>
      </c>
      <c r="B108" s="1" t="s">
        <v>428</v>
      </c>
      <c r="C108" s="1" t="s">
        <v>1526</v>
      </c>
    </row>
    <row r="109" spans="1:3" x14ac:dyDescent="0.2">
      <c r="A109" s="1" t="s">
        <v>355</v>
      </c>
      <c r="B109" s="1" t="s">
        <v>1236</v>
      </c>
      <c r="C109" s="1" t="s">
        <v>1351</v>
      </c>
    </row>
    <row r="110" spans="1:3" x14ac:dyDescent="0.2">
      <c r="A110" s="1" t="s">
        <v>571</v>
      </c>
      <c r="B110" s="1" t="s">
        <v>1152</v>
      </c>
      <c r="C110" s="1" t="s">
        <v>1349</v>
      </c>
    </row>
    <row r="111" spans="1:3" x14ac:dyDescent="0.2">
      <c r="A111" s="1" t="s">
        <v>84</v>
      </c>
      <c r="B111" s="1" t="s">
        <v>1020</v>
      </c>
      <c r="C111" s="1" t="s">
        <v>1359</v>
      </c>
    </row>
    <row r="112" spans="1:3" x14ac:dyDescent="0.2">
      <c r="A112" s="1" t="s">
        <v>139</v>
      </c>
      <c r="B112" s="1" t="s">
        <v>140</v>
      </c>
      <c r="C112" s="1" t="s">
        <v>1531</v>
      </c>
    </row>
    <row r="113" spans="1:3" x14ac:dyDescent="0.2">
      <c r="A113" s="1" t="s">
        <v>79</v>
      </c>
      <c r="B113" s="1" t="s">
        <v>80</v>
      </c>
      <c r="C113" s="1" t="s">
        <v>1535</v>
      </c>
    </row>
    <row r="114" spans="1:3" x14ac:dyDescent="0.2">
      <c r="A114" s="1" t="s">
        <v>517</v>
      </c>
      <c r="B114" s="1" t="s">
        <v>518</v>
      </c>
      <c r="C114" s="1" t="s">
        <v>1531</v>
      </c>
    </row>
    <row r="115" spans="1:3" x14ac:dyDescent="0.2">
      <c r="A115" s="1" t="s">
        <v>157</v>
      </c>
      <c r="B115" s="1" t="s">
        <v>158</v>
      </c>
      <c r="C115" s="1" t="s">
        <v>1529</v>
      </c>
    </row>
    <row r="116" spans="1:3" x14ac:dyDescent="0.2">
      <c r="A116" s="1" t="s">
        <v>265</v>
      </c>
      <c r="B116" s="1" t="s">
        <v>264</v>
      </c>
      <c r="C116" s="1" t="s">
        <v>1352</v>
      </c>
    </row>
    <row r="117" spans="1:3" x14ac:dyDescent="0.2">
      <c r="A117" s="1" t="s">
        <v>281</v>
      </c>
      <c r="B117" s="1" t="s">
        <v>282</v>
      </c>
      <c r="C117" s="1" t="s">
        <v>1353</v>
      </c>
    </row>
    <row r="118" spans="1:3" x14ac:dyDescent="0.2">
      <c r="A118" s="1" t="s">
        <v>419</v>
      </c>
      <c r="B118" s="1" t="s">
        <v>420</v>
      </c>
      <c r="C118" s="1" t="s">
        <v>1529</v>
      </c>
    </row>
    <row r="119" spans="1:3" x14ac:dyDescent="0.2">
      <c r="A119" s="1" t="s">
        <v>276</v>
      </c>
      <c r="B119" s="1" t="s">
        <v>277</v>
      </c>
      <c r="C119" s="1" t="s">
        <v>1361</v>
      </c>
    </row>
    <row r="120" spans="1:3" x14ac:dyDescent="0.2">
      <c r="A120" s="1" t="s">
        <v>617</v>
      </c>
      <c r="B120" s="1" t="s">
        <v>1030</v>
      </c>
      <c r="C120" s="1" t="s">
        <v>1359</v>
      </c>
    </row>
    <row r="121" spans="1:3" x14ac:dyDescent="0.2">
      <c r="A121" s="1" t="s">
        <v>607</v>
      </c>
      <c r="B121" s="1" t="s">
        <v>1025</v>
      </c>
      <c r="C121" s="1" t="s">
        <v>1535</v>
      </c>
    </row>
    <row r="122" spans="1:3" x14ac:dyDescent="0.2">
      <c r="A122" s="1" t="s">
        <v>667</v>
      </c>
      <c r="B122" s="1" t="s">
        <v>1013</v>
      </c>
      <c r="C122" s="1" t="s">
        <v>1532</v>
      </c>
    </row>
    <row r="123" spans="1:3" x14ac:dyDescent="0.2">
      <c r="A123" s="1" t="s">
        <v>105</v>
      </c>
      <c r="B123" s="1" t="s">
        <v>910</v>
      </c>
      <c r="C123" s="1" t="s">
        <v>1533</v>
      </c>
    </row>
    <row r="124" spans="1:3" x14ac:dyDescent="0.2">
      <c r="A124" s="1" t="s">
        <v>48</v>
      </c>
      <c r="B124" s="1" t="s">
        <v>49</v>
      </c>
      <c r="C124" s="1" t="s">
        <v>1365</v>
      </c>
    </row>
    <row r="125" spans="1:3" x14ac:dyDescent="0.2">
      <c r="A125" s="1" t="s">
        <v>312</v>
      </c>
      <c r="B125" s="1" t="s">
        <v>912</v>
      </c>
      <c r="C125" s="1" t="s">
        <v>1533</v>
      </c>
    </row>
    <row r="126" spans="1:3" x14ac:dyDescent="0.2">
      <c r="A126" s="1" t="s">
        <v>150</v>
      </c>
      <c r="B126" s="1" t="s">
        <v>996</v>
      </c>
      <c r="C126" s="1" t="s">
        <v>1532</v>
      </c>
    </row>
    <row r="127" spans="1:3" x14ac:dyDescent="0.2">
      <c r="A127" s="1" t="s">
        <v>238</v>
      </c>
      <c r="B127" s="1" t="s">
        <v>239</v>
      </c>
      <c r="C127" s="1" t="s">
        <v>1365</v>
      </c>
    </row>
    <row r="128" spans="1:3" x14ac:dyDescent="0.2">
      <c r="A128" s="1" t="s">
        <v>153</v>
      </c>
      <c r="B128" s="1" t="s">
        <v>884</v>
      </c>
      <c r="C128" s="1" t="s">
        <v>1362</v>
      </c>
    </row>
    <row r="129" spans="1:3" x14ac:dyDescent="0.2">
      <c r="A129" s="1" t="s">
        <v>346</v>
      </c>
      <c r="B129" s="1" t="s">
        <v>347</v>
      </c>
      <c r="C129" s="1" t="s">
        <v>1355</v>
      </c>
    </row>
    <row r="130" spans="1:3" x14ac:dyDescent="0.2">
      <c r="A130" s="1" t="s">
        <v>343</v>
      </c>
      <c r="B130" s="1" t="s">
        <v>896</v>
      </c>
      <c r="C130" s="1" t="s">
        <v>1367</v>
      </c>
    </row>
    <row r="131" spans="1:3" x14ac:dyDescent="0.2">
      <c r="A131" s="1" t="s">
        <v>561</v>
      </c>
      <c r="B131" s="1" t="s">
        <v>1140</v>
      </c>
      <c r="C131" s="1" t="s">
        <v>1365</v>
      </c>
    </row>
    <row r="132" spans="1:3" x14ac:dyDescent="0.2">
      <c r="A132" s="1" t="s">
        <v>396</v>
      </c>
      <c r="B132" s="1" t="s">
        <v>886</v>
      </c>
      <c r="C132" s="1" t="s">
        <v>1362</v>
      </c>
    </row>
    <row r="133" spans="1:3" x14ac:dyDescent="0.2">
      <c r="A133" s="1" t="s">
        <v>378</v>
      </c>
      <c r="B133" s="1" t="s">
        <v>379</v>
      </c>
      <c r="C133" s="1" t="s">
        <v>1527</v>
      </c>
    </row>
    <row r="134" spans="1:3" x14ac:dyDescent="0.2">
      <c r="A134" s="1" t="s">
        <v>58</v>
      </c>
      <c r="B134" s="1" t="s">
        <v>59</v>
      </c>
      <c r="C134" s="1" t="s">
        <v>1349</v>
      </c>
    </row>
    <row r="135" spans="1:3" x14ac:dyDescent="0.2">
      <c r="A135" s="1" t="s">
        <v>542</v>
      </c>
      <c r="B135" s="1" t="s">
        <v>543</v>
      </c>
      <c r="C135" s="1" t="s">
        <v>1349</v>
      </c>
    </row>
    <row r="136" spans="1:3" x14ac:dyDescent="0.2">
      <c r="A136" s="1" t="s">
        <v>436</v>
      </c>
      <c r="B136" s="1" t="s">
        <v>437</v>
      </c>
      <c r="C136" s="1" t="s">
        <v>1352</v>
      </c>
    </row>
    <row r="137" spans="1:3" x14ac:dyDescent="0.2">
      <c r="A137" s="1" t="s">
        <v>56</v>
      </c>
      <c r="B137" s="1" t="s">
        <v>1003</v>
      </c>
      <c r="C137" s="1" t="s">
        <v>1355</v>
      </c>
    </row>
    <row r="138" spans="1:3" x14ac:dyDescent="0.2">
      <c r="A138" s="1" t="s">
        <v>511</v>
      </c>
      <c r="B138" s="1" t="s">
        <v>512</v>
      </c>
      <c r="C138" s="1" t="s">
        <v>1363</v>
      </c>
    </row>
    <row r="139" spans="1:3" x14ac:dyDescent="0.2">
      <c r="A139" s="1" t="s">
        <v>612</v>
      </c>
      <c r="B139" s="1" t="s">
        <v>1126</v>
      </c>
      <c r="C139" s="1" t="s">
        <v>1348</v>
      </c>
    </row>
    <row r="140" spans="1:3" x14ac:dyDescent="0.2">
      <c r="A140" s="1" t="s">
        <v>493</v>
      </c>
      <c r="B140" s="1" t="s">
        <v>494</v>
      </c>
      <c r="C140" s="1" t="s">
        <v>1348</v>
      </c>
    </row>
    <row r="141" spans="1:3" x14ac:dyDescent="0.2">
      <c r="A141" s="1" t="s">
        <v>122</v>
      </c>
      <c r="B141" s="1" t="s">
        <v>123</v>
      </c>
      <c r="C141" s="1" t="s">
        <v>1367</v>
      </c>
    </row>
    <row r="142" spans="1:3" x14ac:dyDescent="0.2">
      <c r="A142" s="1" t="s">
        <v>596</v>
      </c>
      <c r="B142" s="1" t="s">
        <v>865</v>
      </c>
      <c r="C142" s="1" t="s">
        <v>1367</v>
      </c>
    </row>
    <row r="143" spans="1:3" x14ac:dyDescent="0.2">
      <c r="A143" s="1" t="s">
        <v>514</v>
      </c>
      <c r="B143" s="1" t="s">
        <v>515</v>
      </c>
      <c r="C143" s="1" t="s">
        <v>1531</v>
      </c>
    </row>
    <row r="144" spans="1:3" x14ac:dyDescent="0.2">
      <c r="A144" s="1" t="s">
        <v>438</v>
      </c>
      <c r="B144" s="1" t="s">
        <v>439</v>
      </c>
      <c r="C144" s="1" t="s">
        <v>1528</v>
      </c>
    </row>
    <row r="145" spans="1:3" x14ac:dyDescent="0.2">
      <c r="A145" s="1" t="s">
        <v>253</v>
      </c>
      <c r="B145" s="1" t="s">
        <v>859</v>
      </c>
      <c r="C145" s="1" t="s">
        <v>1366</v>
      </c>
    </row>
    <row r="146" spans="1:3" x14ac:dyDescent="0.2">
      <c r="A146" s="1" t="s">
        <v>261</v>
      </c>
      <c r="B146" s="1" t="s">
        <v>818</v>
      </c>
      <c r="C146" s="1" t="s">
        <v>1364</v>
      </c>
    </row>
    <row r="147" spans="1:3" x14ac:dyDescent="0.2">
      <c r="A147" s="1" t="s">
        <v>202</v>
      </c>
      <c r="B147" s="1" t="s">
        <v>203</v>
      </c>
      <c r="C147" s="1" t="s">
        <v>1367</v>
      </c>
    </row>
    <row r="148" spans="1:3" x14ac:dyDescent="0.2">
      <c r="A148" s="1" t="s">
        <v>444</v>
      </c>
      <c r="B148" s="1" t="s">
        <v>445</v>
      </c>
      <c r="C148" s="1" t="s">
        <v>1531</v>
      </c>
    </row>
    <row r="149" spans="1:3" x14ac:dyDescent="0.2">
      <c r="A149" s="1" t="s">
        <v>425</v>
      </c>
      <c r="B149" s="1" t="s">
        <v>915</v>
      </c>
      <c r="C149" s="1" t="s">
        <v>1533</v>
      </c>
    </row>
    <row r="150" spans="1:3" x14ac:dyDescent="0.2">
      <c r="A150" s="1" t="s">
        <v>712</v>
      </c>
      <c r="B150" s="1" t="s">
        <v>998</v>
      </c>
      <c r="C150" s="1">
        <v>0</v>
      </c>
    </row>
    <row r="151" spans="1:3" x14ac:dyDescent="0.2">
      <c r="A151" s="1" t="s">
        <v>584</v>
      </c>
      <c r="B151" s="1" t="s">
        <v>971</v>
      </c>
      <c r="C151" s="1" t="s">
        <v>1360</v>
      </c>
    </row>
    <row r="152" spans="1:3" x14ac:dyDescent="0.2">
      <c r="A152" s="1" t="s">
        <v>569</v>
      </c>
      <c r="B152" s="1" t="s">
        <v>973</v>
      </c>
      <c r="C152" s="1" t="s">
        <v>1360</v>
      </c>
    </row>
    <row r="153" spans="1:3" x14ac:dyDescent="0.2">
      <c r="A153" s="1" t="s">
        <v>28</v>
      </c>
      <c r="B153" s="1" t="s">
        <v>29</v>
      </c>
      <c r="C153" s="1" t="s">
        <v>1366</v>
      </c>
    </row>
    <row r="154" spans="1:3" x14ac:dyDescent="0.2">
      <c r="A154" s="1" t="s">
        <v>325</v>
      </c>
      <c r="B154" s="1" t="s">
        <v>326</v>
      </c>
      <c r="C154" s="1" t="s">
        <v>1359</v>
      </c>
    </row>
    <row r="155" spans="1:3" x14ac:dyDescent="0.2">
      <c r="A155" s="1" t="s">
        <v>501</v>
      </c>
      <c r="B155" s="1" t="s">
        <v>502</v>
      </c>
      <c r="C155" s="1" t="s">
        <v>1536</v>
      </c>
    </row>
    <row r="156" spans="1:3" x14ac:dyDescent="0.2">
      <c r="A156" s="1" t="s">
        <v>318</v>
      </c>
      <c r="B156" s="1" t="s">
        <v>947</v>
      </c>
      <c r="C156" s="1" t="s">
        <v>1528</v>
      </c>
    </row>
    <row r="157" spans="1:3" x14ac:dyDescent="0.2">
      <c r="A157" s="1" t="s">
        <v>637</v>
      </c>
      <c r="B157" s="1" t="s">
        <v>638</v>
      </c>
      <c r="C157" s="1" t="s">
        <v>1351</v>
      </c>
    </row>
    <row r="158" spans="1:3" x14ac:dyDescent="0.2">
      <c r="A158" s="1" t="s">
        <v>198</v>
      </c>
      <c r="B158" s="1" t="s">
        <v>199</v>
      </c>
      <c r="C158" s="1" t="s">
        <v>1351</v>
      </c>
    </row>
    <row r="159" spans="1:3" x14ac:dyDescent="0.2">
      <c r="A159" s="1" t="s">
        <v>442</v>
      </c>
      <c r="B159" s="1" t="s">
        <v>863</v>
      </c>
      <c r="C159" s="1" t="s">
        <v>1367</v>
      </c>
    </row>
    <row r="160" spans="1:3" x14ac:dyDescent="0.2">
      <c r="A160" s="1" t="s">
        <v>243</v>
      </c>
      <c r="B160" s="1" t="s">
        <v>1096</v>
      </c>
      <c r="C160" s="1" t="s">
        <v>1537</v>
      </c>
    </row>
    <row r="161" spans="1:3" x14ac:dyDescent="0.2">
      <c r="A161" s="1" t="s">
        <v>50</v>
      </c>
      <c r="B161" s="1" t="s">
        <v>51</v>
      </c>
      <c r="C161" s="1" t="s">
        <v>1364</v>
      </c>
    </row>
    <row r="162" spans="1:3" x14ac:dyDescent="0.2">
      <c r="A162" s="1" t="s">
        <v>22</v>
      </c>
      <c r="B162" s="1" t="s">
        <v>23</v>
      </c>
      <c r="C162" s="1" t="e">
        <v>#N/A</v>
      </c>
    </row>
    <row r="163" spans="1:3" x14ac:dyDescent="0.2">
      <c r="A163" s="1" t="s">
        <v>626</v>
      </c>
      <c r="B163" s="1" t="s">
        <v>828</v>
      </c>
      <c r="C163" s="1" t="s">
        <v>1538</v>
      </c>
    </row>
    <row r="164" spans="1:3" x14ac:dyDescent="0.2">
      <c r="A164" s="1" t="s">
        <v>441</v>
      </c>
      <c r="B164" s="1" t="s">
        <v>830</v>
      </c>
      <c r="C164" s="1" t="s">
        <v>1538</v>
      </c>
    </row>
    <row r="165" spans="1:3" x14ac:dyDescent="0.2">
      <c r="A165" s="1" t="s">
        <v>530</v>
      </c>
      <c r="B165" s="1" t="s">
        <v>832</v>
      </c>
      <c r="C165" s="1" t="s">
        <v>1538</v>
      </c>
    </row>
    <row r="166" spans="1:3" x14ac:dyDescent="0.2">
      <c r="A166" s="1" t="s">
        <v>65</v>
      </c>
      <c r="B166" s="1" t="s">
        <v>950</v>
      </c>
      <c r="C166" s="1" t="s">
        <v>1528</v>
      </c>
    </row>
    <row r="167" spans="1:3" x14ac:dyDescent="0.2">
      <c r="A167" s="1" t="s">
        <v>258</v>
      </c>
      <c r="B167" s="1" t="s">
        <v>259</v>
      </c>
      <c r="C167" s="1" t="s">
        <v>1364</v>
      </c>
    </row>
    <row r="168" spans="1:3" x14ac:dyDescent="0.2">
      <c r="A168" s="1" t="s">
        <v>397</v>
      </c>
      <c r="B168" s="1" t="s">
        <v>398</v>
      </c>
      <c r="C168" s="1" t="s">
        <v>1352</v>
      </c>
    </row>
    <row r="169" spans="1:3" x14ac:dyDescent="0.2">
      <c r="A169" s="1" t="s">
        <v>289</v>
      </c>
      <c r="B169" s="1" t="s">
        <v>290</v>
      </c>
      <c r="C169" s="1" t="s">
        <v>1356</v>
      </c>
    </row>
    <row r="170" spans="1:3" x14ac:dyDescent="0.2">
      <c r="A170" s="1" t="s">
        <v>62</v>
      </c>
      <c r="B170" s="1" t="s">
        <v>63</v>
      </c>
      <c r="C170" s="1" t="s">
        <v>1526</v>
      </c>
    </row>
    <row r="171" spans="1:3" x14ac:dyDescent="0.2">
      <c r="A171" s="1" t="s">
        <v>250</v>
      </c>
      <c r="B171" s="1" t="s">
        <v>251</v>
      </c>
      <c r="C171" s="1" t="s">
        <v>1539</v>
      </c>
    </row>
    <row r="172" spans="1:3" x14ac:dyDescent="0.2">
      <c r="A172" s="1" t="s">
        <v>12</v>
      </c>
      <c r="B172" s="1" t="s">
        <v>13</v>
      </c>
      <c r="C172" s="1" t="s">
        <v>1352</v>
      </c>
    </row>
    <row r="173" spans="1:3" x14ac:dyDescent="0.2">
      <c r="A173" s="1" t="s">
        <v>24</v>
      </c>
      <c r="B173" s="1" t="s">
        <v>25</v>
      </c>
      <c r="C173" s="1" t="s">
        <v>1351</v>
      </c>
    </row>
    <row r="174" spans="1:3" x14ac:dyDescent="0.2">
      <c r="A174" s="1" t="s">
        <v>340</v>
      </c>
      <c r="B174" s="1" t="s">
        <v>1043</v>
      </c>
      <c r="C174" s="1" t="s">
        <v>1359</v>
      </c>
    </row>
    <row r="175" spans="1:3" x14ac:dyDescent="0.2">
      <c r="A175" s="1" t="s">
        <v>391</v>
      </c>
      <c r="B175" s="1" t="s">
        <v>1008</v>
      </c>
      <c r="C175" s="1" t="s">
        <v>1363</v>
      </c>
    </row>
    <row r="176" spans="1:3" x14ac:dyDescent="0.2">
      <c r="A176" s="1" t="s">
        <v>125</v>
      </c>
      <c r="B176" s="1" t="s">
        <v>871</v>
      </c>
      <c r="C176" s="1" t="s">
        <v>1362</v>
      </c>
    </row>
    <row r="177" spans="1:3" x14ac:dyDescent="0.2">
      <c r="A177" s="1" t="s">
        <v>564</v>
      </c>
      <c r="B177" s="1" t="s">
        <v>812</v>
      </c>
      <c r="C177" s="1" t="s">
        <v>1525</v>
      </c>
    </row>
    <row r="178" spans="1:3" x14ac:dyDescent="0.2">
      <c r="A178" s="1" t="s">
        <v>627</v>
      </c>
      <c r="B178" s="1" t="s">
        <v>926</v>
      </c>
      <c r="C178" s="1" t="s">
        <v>1526</v>
      </c>
    </row>
    <row r="179" spans="1:3" x14ac:dyDescent="0.2">
      <c r="A179" s="1" t="s">
        <v>706</v>
      </c>
      <c r="B179" s="1" t="s">
        <v>899</v>
      </c>
      <c r="C179" s="1">
        <v>0</v>
      </c>
    </row>
    <row r="180" spans="1:3" x14ac:dyDescent="0.2">
      <c r="A180" s="1" t="s">
        <v>548</v>
      </c>
      <c r="B180" s="1" t="s">
        <v>901</v>
      </c>
      <c r="C180" s="1" t="s">
        <v>1364</v>
      </c>
    </row>
    <row r="181" spans="1:3" x14ac:dyDescent="0.2">
      <c r="A181" s="1" t="s">
        <v>434</v>
      </c>
      <c r="B181" s="1" t="s">
        <v>435</v>
      </c>
      <c r="C181" s="1">
        <v>0</v>
      </c>
    </row>
    <row r="182" spans="1:3" x14ac:dyDescent="0.2">
      <c r="A182" s="1" t="s">
        <v>387</v>
      </c>
      <c r="B182" s="1" t="s">
        <v>388</v>
      </c>
      <c r="C182" s="1" t="s">
        <v>1352</v>
      </c>
    </row>
    <row r="183" spans="1:3" x14ac:dyDescent="0.2">
      <c r="A183" s="1" t="s">
        <v>758</v>
      </c>
      <c r="B183" s="1" t="s">
        <v>905</v>
      </c>
      <c r="C183" s="1" t="e">
        <v>#N/A</v>
      </c>
    </row>
    <row r="184" spans="1:3" x14ac:dyDescent="0.2">
      <c r="A184" s="1" t="s">
        <v>315</v>
      </c>
      <c r="B184" s="1" t="s">
        <v>878</v>
      </c>
      <c r="C184" s="1" t="s">
        <v>1367</v>
      </c>
    </row>
    <row r="185" spans="1:3" x14ac:dyDescent="0.2">
      <c r="A185" s="1" t="s">
        <v>490</v>
      </c>
      <c r="B185" s="1" t="s">
        <v>491</v>
      </c>
      <c r="C185" s="1" t="s">
        <v>1525</v>
      </c>
    </row>
    <row r="186" spans="1:3" x14ac:dyDescent="0.2">
      <c r="A186" s="1" t="s">
        <v>389</v>
      </c>
      <c r="B186" s="1" t="s">
        <v>918</v>
      </c>
      <c r="C186" s="1" t="s">
        <v>1533</v>
      </c>
    </row>
    <row r="187" spans="1:3" x14ac:dyDescent="0.2">
      <c r="A187" s="1" t="s">
        <v>1223</v>
      </c>
      <c r="B187" s="1" t="s">
        <v>968</v>
      </c>
      <c r="C187" s="1">
        <v>0</v>
      </c>
    </row>
    <row r="188" spans="1:3" x14ac:dyDescent="0.2">
      <c r="A188" s="1" t="s">
        <v>1221</v>
      </c>
      <c r="B188" s="1" t="s">
        <v>903</v>
      </c>
      <c r="C188" s="1" t="s">
        <v>1364</v>
      </c>
    </row>
    <row r="189" spans="1:3" x14ac:dyDescent="0.2">
      <c r="A189" s="1" t="s">
        <v>1220</v>
      </c>
      <c r="B189" s="1" t="s">
        <v>876</v>
      </c>
      <c r="C189" s="1" t="e">
        <v>#N/A</v>
      </c>
    </row>
    <row r="190" spans="1:3" x14ac:dyDescent="0.2">
      <c r="A190" s="1" t="s">
        <v>591</v>
      </c>
      <c r="B190" s="1" t="s">
        <v>1085</v>
      </c>
      <c r="C190" s="1" t="e">
        <v>#N/A</v>
      </c>
    </row>
    <row r="191" spans="1:3" x14ac:dyDescent="0.2">
      <c r="A191" s="1" t="s">
        <v>629</v>
      </c>
      <c r="B191" s="1" t="s">
        <v>630</v>
      </c>
      <c r="C191" s="1" t="s">
        <v>1359</v>
      </c>
    </row>
    <row r="192" spans="1:3" x14ac:dyDescent="0.2">
      <c r="A192" s="1" t="s">
        <v>578</v>
      </c>
      <c r="B192" s="1" t="s">
        <v>1027</v>
      </c>
      <c r="C192" s="1" t="s">
        <v>1535</v>
      </c>
    </row>
    <row r="193" spans="1:3" x14ac:dyDescent="0.2">
      <c r="A193" s="1" t="s">
        <v>473</v>
      </c>
      <c r="B193" s="1" t="s">
        <v>474</v>
      </c>
      <c r="C193" s="1" t="s">
        <v>1354</v>
      </c>
    </row>
    <row r="194" spans="1:3" x14ac:dyDescent="0.2">
      <c r="A194" s="1" t="s">
        <v>622</v>
      </c>
      <c r="B194" s="1" t="s">
        <v>623</v>
      </c>
      <c r="C194" s="1" t="s">
        <v>1529</v>
      </c>
    </row>
    <row r="195" spans="1:3" x14ac:dyDescent="0.2">
      <c r="A195" s="1" t="s">
        <v>470</v>
      </c>
      <c r="B195" s="1" t="s">
        <v>471</v>
      </c>
      <c r="C195" s="1" t="s">
        <v>1529</v>
      </c>
    </row>
    <row r="196" spans="1:3" x14ac:dyDescent="0.2">
      <c r="A196" s="1" t="s">
        <v>478</v>
      </c>
      <c r="B196" s="1" t="s">
        <v>479</v>
      </c>
      <c r="C196" s="1" t="s">
        <v>1361</v>
      </c>
    </row>
    <row r="197" spans="1:3" x14ac:dyDescent="0.2">
      <c r="A197" s="1" t="s">
        <v>207</v>
      </c>
      <c r="B197" s="1" t="s">
        <v>208</v>
      </c>
      <c r="C197" s="1" t="s">
        <v>1361</v>
      </c>
    </row>
    <row r="198" spans="1:3" x14ac:dyDescent="0.2">
      <c r="A198" s="1" t="s">
        <v>573</v>
      </c>
      <c r="B198" s="1" t="s">
        <v>989</v>
      </c>
      <c r="C198" s="1" t="s">
        <v>1363</v>
      </c>
    </row>
    <row r="199" spans="1:3" x14ac:dyDescent="0.2">
      <c r="A199" s="1" t="s">
        <v>586</v>
      </c>
      <c r="B199" s="1" t="s">
        <v>1040</v>
      </c>
      <c r="C199" s="1" t="s">
        <v>1361</v>
      </c>
    </row>
    <row r="200" spans="1:3" x14ac:dyDescent="0.2">
      <c r="A200" s="1" t="s">
        <v>590</v>
      </c>
      <c r="B200" s="1" t="s">
        <v>984</v>
      </c>
      <c r="C200" s="1" t="s">
        <v>1530</v>
      </c>
    </row>
    <row r="201" spans="1:3" x14ac:dyDescent="0.2">
      <c r="A201" s="1" t="s">
        <v>245</v>
      </c>
      <c r="B201" s="1" t="s">
        <v>246</v>
      </c>
      <c r="C201" s="1" t="s">
        <v>1359</v>
      </c>
    </row>
    <row r="202" spans="1:3" x14ac:dyDescent="0.2">
      <c r="A202" s="1" t="s">
        <v>129</v>
      </c>
      <c r="B202" s="1" t="s">
        <v>130</v>
      </c>
      <c r="C202" s="1" t="s">
        <v>1363</v>
      </c>
    </row>
    <row r="203" spans="1:3" x14ac:dyDescent="0.2">
      <c r="A203" s="1" t="s">
        <v>254</v>
      </c>
      <c r="B203" s="1" t="s">
        <v>255</v>
      </c>
      <c r="C203" s="1" t="e">
        <v>#N/A</v>
      </c>
    </row>
    <row r="204" spans="1:3" x14ac:dyDescent="0.2">
      <c r="A204" s="1" t="s">
        <v>505</v>
      </c>
      <c r="B204" s="1" t="s">
        <v>506</v>
      </c>
      <c r="C204" s="1" t="s">
        <v>1350</v>
      </c>
    </row>
    <row r="205" spans="1:3" x14ac:dyDescent="0.2">
      <c r="A205" s="1" t="s">
        <v>661</v>
      </c>
      <c r="B205" s="1" t="s">
        <v>662</v>
      </c>
      <c r="C205" s="1" t="s">
        <v>1350</v>
      </c>
    </row>
    <row r="206" spans="1:3" x14ac:dyDescent="0.2">
      <c r="A206" s="1" t="s">
        <v>600</v>
      </c>
      <c r="B206" s="1" t="s">
        <v>601</v>
      </c>
      <c r="C206" s="1" t="s">
        <v>1360</v>
      </c>
    </row>
    <row r="207" spans="1:3" x14ac:dyDescent="0.2">
      <c r="A207" s="1" t="s">
        <v>508</v>
      </c>
      <c r="B207" s="1" t="s">
        <v>509</v>
      </c>
      <c r="C207" s="1" t="s">
        <v>1354</v>
      </c>
    </row>
    <row r="208" spans="1:3" x14ac:dyDescent="0.2">
      <c r="A208" s="1" t="s">
        <v>31</v>
      </c>
      <c r="B208" s="1" t="s">
        <v>32</v>
      </c>
      <c r="C208" s="1" t="s">
        <v>1350</v>
      </c>
    </row>
    <row r="209" spans="1:3" x14ac:dyDescent="0.2">
      <c r="A209" s="1" t="s">
        <v>19</v>
      </c>
      <c r="B209" s="1" t="s">
        <v>20</v>
      </c>
      <c r="C209" s="1" t="s">
        <v>1360</v>
      </c>
    </row>
    <row r="210" spans="1:3" x14ac:dyDescent="0.2">
      <c r="A210" s="1" t="s">
        <v>452</v>
      </c>
      <c r="B210" s="1" t="s">
        <v>453</v>
      </c>
      <c r="C210" s="1" t="s">
        <v>1354</v>
      </c>
    </row>
    <row r="211" spans="1:3" x14ac:dyDescent="0.2">
      <c r="A211" s="1" t="s">
        <v>174</v>
      </c>
      <c r="B211" s="1" t="s">
        <v>175</v>
      </c>
      <c r="C211" s="1" t="s">
        <v>1350</v>
      </c>
    </row>
    <row r="212" spans="1:3" x14ac:dyDescent="0.2">
      <c r="A212" s="1" t="s">
        <v>655</v>
      </c>
      <c r="B212" s="1" t="s">
        <v>656</v>
      </c>
      <c r="C212" s="1" t="s">
        <v>1360</v>
      </c>
    </row>
    <row r="213" spans="1:3" x14ac:dyDescent="0.2">
      <c r="A213" s="1" t="s">
        <v>53</v>
      </c>
      <c r="B213" s="1" t="s">
        <v>54</v>
      </c>
      <c r="C213" s="1" t="s">
        <v>1350</v>
      </c>
    </row>
    <row r="214" spans="1:3" x14ac:dyDescent="0.2">
      <c r="A214" s="1" t="s">
        <v>594</v>
      </c>
      <c r="B214" s="1" t="s">
        <v>990</v>
      </c>
      <c r="C214" s="1" t="s">
        <v>1363</v>
      </c>
    </row>
    <row r="215" spans="1:3" x14ac:dyDescent="0.2">
      <c r="A215" s="1" t="s">
        <v>457</v>
      </c>
      <c r="B215" s="1" t="s">
        <v>458</v>
      </c>
      <c r="C215" s="1" t="s">
        <v>1529</v>
      </c>
    </row>
    <row r="216" spans="1:3" x14ac:dyDescent="0.2">
      <c r="A216" s="1" t="s">
        <v>460</v>
      </c>
      <c r="B216" s="1" t="s">
        <v>461</v>
      </c>
      <c r="C216" s="1" t="s">
        <v>1349</v>
      </c>
    </row>
    <row r="217" spans="1:3" x14ac:dyDescent="0.2">
      <c r="A217" s="1" t="s">
        <v>538</v>
      </c>
      <c r="B217" s="1" t="s">
        <v>539</v>
      </c>
      <c r="C217" s="1" t="s">
        <v>1523</v>
      </c>
    </row>
    <row r="218" spans="1:3" x14ac:dyDescent="0.2">
      <c r="A218" s="1" t="s">
        <v>115</v>
      </c>
      <c r="B218" s="1" t="s">
        <v>116</v>
      </c>
      <c r="C218" s="1" t="s">
        <v>1534</v>
      </c>
    </row>
    <row r="219" spans="1:3" x14ac:dyDescent="0.2">
      <c r="A219" s="1" t="s">
        <v>448</v>
      </c>
      <c r="B219" s="1" t="s">
        <v>449</v>
      </c>
      <c r="C219" s="1" t="s">
        <v>1348</v>
      </c>
    </row>
    <row r="220" spans="1:3" x14ac:dyDescent="0.2">
      <c r="A220" s="1" t="s">
        <v>94</v>
      </c>
      <c r="B220" s="1" t="s">
        <v>95</v>
      </c>
      <c r="C220" s="1" t="s">
        <v>1351</v>
      </c>
    </row>
    <row r="221" spans="1:3" x14ac:dyDescent="0.2">
      <c r="A221" s="1" t="s">
        <v>484</v>
      </c>
      <c r="B221" s="1" t="s">
        <v>485</v>
      </c>
      <c r="C221" s="1" t="s">
        <v>1534</v>
      </c>
    </row>
    <row r="222" spans="1:3" x14ac:dyDescent="0.2">
      <c r="A222" s="1" t="s">
        <v>482</v>
      </c>
      <c r="B222" s="1" t="s">
        <v>483</v>
      </c>
      <c r="C222" s="1" t="s">
        <v>1353</v>
      </c>
    </row>
    <row r="223" spans="1:3" x14ac:dyDescent="0.2">
      <c r="A223" s="1" t="s">
        <v>559</v>
      </c>
      <c r="B223" s="1" t="s">
        <v>1133</v>
      </c>
      <c r="C223" s="1" t="s">
        <v>1365</v>
      </c>
    </row>
    <row r="224" spans="1:3" x14ac:dyDescent="0.2">
      <c r="A224" s="1" t="s">
        <v>593</v>
      </c>
      <c r="B224" s="1" t="s">
        <v>1122</v>
      </c>
      <c r="C224" s="1" t="s">
        <v>1348</v>
      </c>
    </row>
    <row r="225" spans="1:3" x14ac:dyDescent="0.2">
      <c r="A225" s="1" t="s">
        <v>88</v>
      </c>
      <c r="B225" s="1" t="s">
        <v>89</v>
      </c>
      <c r="C225" s="1" t="s">
        <v>1351</v>
      </c>
    </row>
    <row r="226" spans="1:3" x14ac:dyDescent="0.2">
      <c r="A226" s="1" t="s">
        <v>556</v>
      </c>
      <c r="B226" s="1" t="s">
        <v>557</v>
      </c>
      <c r="C226" s="1" t="s">
        <v>1365</v>
      </c>
    </row>
    <row r="227" spans="1:3" x14ac:dyDescent="0.2">
      <c r="A227" s="1" t="s">
        <v>72</v>
      </c>
      <c r="B227" s="1" t="s">
        <v>73</v>
      </c>
      <c r="C227" s="1" t="s">
        <v>1537</v>
      </c>
    </row>
    <row r="228" spans="1:3" x14ac:dyDescent="0.2">
      <c r="A228" s="1" t="s">
        <v>413</v>
      </c>
      <c r="B228" s="1" t="s">
        <v>414</v>
      </c>
      <c r="C228" s="1" t="s">
        <v>1358</v>
      </c>
    </row>
    <row r="229" spans="1:3" x14ac:dyDescent="0.2">
      <c r="A229" s="1" t="s">
        <v>263</v>
      </c>
      <c r="B229" s="1" t="s">
        <v>1060</v>
      </c>
      <c r="C229" s="1" t="s">
        <v>1358</v>
      </c>
    </row>
    <row r="230" spans="1:3" x14ac:dyDescent="0.2">
      <c r="A230" s="1" t="s">
        <v>147</v>
      </c>
      <c r="B230" s="1" t="s">
        <v>148</v>
      </c>
      <c r="C230" s="1" t="s">
        <v>1356</v>
      </c>
    </row>
    <row r="231" spans="1:3" x14ac:dyDescent="0.2">
      <c r="A231" s="1" t="s">
        <v>162</v>
      </c>
      <c r="B231" s="1" t="s">
        <v>163</v>
      </c>
      <c r="C231" s="1" t="s">
        <v>1356</v>
      </c>
    </row>
    <row r="232" spans="1:3" x14ac:dyDescent="0.2">
      <c r="A232" s="1" t="s">
        <v>165</v>
      </c>
      <c r="B232" s="1" t="s">
        <v>166</v>
      </c>
      <c r="C232" s="1" t="s">
        <v>1358</v>
      </c>
    </row>
    <row r="233" spans="1:3" x14ac:dyDescent="0.2">
      <c r="A233" s="1" t="s">
        <v>475</v>
      </c>
      <c r="B233" s="1" t="s">
        <v>1055</v>
      </c>
      <c r="C233" s="1" t="s">
        <v>1356</v>
      </c>
    </row>
    <row r="234" spans="1:3" x14ac:dyDescent="0.2">
      <c r="A234" s="1" t="s">
        <v>108</v>
      </c>
      <c r="B234" s="1" t="s">
        <v>109</v>
      </c>
      <c r="C234" s="1" t="s">
        <v>1358</v>
      </c>
    </row>
    <row r="235" spans="1:3" x14ac:dyDescent="0.2">
      <c r="A235" s="1" t="s">
        <v>168</v>
      </c>
      <c r="B235" s="1" t="s">
        <v>169</v>
      </c>
      <c r="C235" s="1" t="s">
        <v>1358</v>
      </c>
    </row>
    <row r="236" spans="1:3" x14ac:dyDescent="0.2">
      <c r="A236" s="1" t="s">
        <v>37</v>
      </c>
      <c r="B236" s="1" t="s">
        <v>38</v>
      </c>
      <c r="C236" s="1" t="s">
        <v>1356</v>
      </c>
    </row>
    <row r="237" spans="1:3" x14ac:dyDescent="0.2">
      <c r="A237" s="1" t="s">
        <v>608</v>
      </c>
      <c r="B237" s="1" t="s">
        <v>609</v>
      </c>
      <c r="C237" s="1" t="s">
        <v>1362</v>
      </c>
    </row>
    <row r="238" spans="1:3" x14ac:dyDescent="0.2">
      <c r="A238" s="1" t="s">
        <v>291</v>
      </c>
      <c r="B238" s="1" t="s">
        <v>292</v>
      </c>
      <c r="C238" s="1" t="s">
        <v>1540</v>
      </c>
    </row>
    <row r="239" spans="1:3" x14ac:dyDescent="0.2">
      <c r="A239" s="1" t="s">
        <v>219</v>
      </c>
      <c r="B239" s="1" t="s">
        <v>220</v>
      </c>
      <c r="C239" s="1" t="s">
        <v>1362</v>
      </c>
    </row>
    <row r="240" spans="1:3" x14ac:dyDescent="0.2">
      <c r="A240" s="1" t="s">
        <v>407</v>
      </c>
      <c r="B240" s="1" t="s">
        <v>408</v>
      </c>
      <c r="C240" s="1" t="s">
        <v>1367</v>
      </c>
    </row>
    <row r="241" spans="1:3" x14ac:dyDescent="0.2">
      <c r="A241" s="1" t="s">
        <v>364</v>
      </c>
      <c r="B241" s="1" t="s">
        <v>897</v>
      </c>
      <c r="C241" s="1" t="s">
        <v>1362</v>
      </c>
    </row>
    <row r="242" spans="1:3" x14ac:dyDescent="0.2">
      <c r="A242" s="1" t="s">
        <v>190</v>
      </c>
      <c r="B242" s="1" t="s">
        <v>191</v>
      </c>
      <c r="C242" s="1" t="s">
        <v>1362</v>
      </c>
    </row>
    <row r="243" spans="1:3" x14ac:dyDescent="0.2">
      <c r="A243" s="1" t="s">
        <v>410</v>
      </c>
      <c r="B243" s="1" t="s">
        <v>411</v>
      </c>
      <c r="C243" s="1" t="s">
        <v>1367</v>
      </c>
    </row>
    <row r="244" spans="1:3" x14ac:dyDescent="0.2">
      <c r="A244" s="1" t="s">
        <v>66</v>
      </c>
      <c r="B244" s="1" t="s">
        <v>67</v>
      </c>
      <c r="C244" s="1" t="s">
        <v>1366</v>
      </c>
    </row>
    <row r="245" spans="1:3" x14ac:dyDescent="0.2">
      <c r="A245" s="1" t="s">
        <v>619</v>
      </c>
      <c r="B245" s="1" t="s">
        <v>620</v>
      </c>
      <c r="C245" s="1" t="s">
        <v>1531</v>
      </c>
    </row>
    <row r="246" spans="1:3" x14ac:dyDescent="0.2">
      <c r="A246" s="1" t="s">
        <v>369</v>
      </c>
      <c r="B246" s="1" t="s">
        <v>370</v>
      </c>
      <c r="C246" s="1" t="s">
        <v>1364</v>
      </c>
    </row>
    <row r="247" spans="1:3" x14ac:dyDescent="0.2">
      <c r="A247" s="1" t="s">
        <v>432</v>
      </c>
      <c r="B247" s="1" t="s">
        <v>433</v>
      </c>
      <c r="C247" s="1" t="s">
        <v>1525</v>
      </c>
    </row>
    <row r="248" spans="1:3" x14ac:dyDescent="0.2">
      <c r="A248" s="1" t="s">
        <v>546</v>
      </c>
      <c r="B248" s="1" t="s">
        <v>547</v>
      </c>
      <c r="C248" s="1" t="s">
        <v>1527</v>
      </c>
    </row>
    <row r="249" spans="1:3" x14ac:dyDescent="0.2">
      <c r="A249" s="1" t="s">
        <v>303</v>
      </c>
      <c r="B249" s="1" t="s">
        <v>304</v>
      </c>
      <c r="C249" s="1" t="s">
        <v>1364</v>
      </c>
    </row>
    <row r="250" spans="1:3" x14ac:dyDescent="0.2">
      <c r="A250" s="1" t="s">
        <v>585</v>
      </c>
      <c r="B250" s="1" t="s">
        <v>874</v>
      </c>
      <c r="C250" s="1" t="s">
        <v>1366</v>
      </c>
    </row>
    <row r="251" spans="1:3" x14ac:dyDescent="0.2">
      <c r="A251" s="1" t="s">
        <v>360</v>
      </c>
      <c r="B251" s="1" t="s">
        <v>361</v>
      </c>
      <c r="C251" s="1" t="s">
        <v>1366</v>
      </c>
    </row>
    <row r="252" spans="1:3" x14ac:dyDescent="0.2">
      <c r="A252" s="1" t="s">
        <v>223</v>
      </c>
      <c r="B252" s="1" t="s">
        <v>224</v>
      </c>
      <c r="C252" s="1" t="s">
        <v>1533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b1a6156-ca51-455f-8416-cbe36e2d0819">
      <UserInfo>
        <DisplayName>Sathish Babu</DisplayName>
        <AccountId>830</AccountId>
        <AccountType/>
      </UserInfo>
      <UserInfo>
        <DisplayName>Sathish Baskar Rao</DisplayName>
        <AccountId>831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71E0C533B0CC4B8DA5ECAEDFE482CA" ma:contentTypeVersion="12" ma:contentTypeDescription="Create a new document." ma:contentTypeScope="" ma:versionID="e73e8b11d8f5af0f0ff78fd5b87f7780">
  <xsd:schema xmlns:xsd="http://www.w3.org/2001/XMLSchema" xmlns:xs="http://www.w3.org/2001/XMLSchema" xmlns:p="http://schemas.microsoft.com/office/2006/metadata/properties" xmlns:ns2="de07c732-4c89-4455-80f6-7c3ef5d7fe2e" xmlns:ns3="7b1a6156-ca51-455f-8416-cbe36e2d0819" targetNamespace="http://schemas.microsoft.com/office/2006/metadata/properties" ma:root="true" ma:fieldsID="83e24b890d5914effc7f11578dc91825" ns2:_="" ns3:_="">
    <xsd:import namespace="de07c732-4c89-4455-80f6-7c3ef5d7fe2e"/>
    <xsd:import namespace="7b1a6156-ca51-455f-8416-cbe36e2d08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07c732-4c89-4455-80f6-7c3ef5d7fe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a6156-ca51-455f-8416-cbe36e2d081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3DC552-D1DF-455D-B34E-0DC9BAF738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1CA1A8-E041-4525-845A-8156389E1755}">
  <ds:schemaRefs>
    <ds:schemaRef ds:uri="http://purl.org/dc/terms/"/>
    <ds:schemaRef ds:uri="de07c732-4c89-4455-80f6-7c3ef5d7fe2e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7b1a6156-ca51-455f-8416-cbe36e2d0819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9BDAB33-2F54-4BC3-968C-D6C8C3147D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07c732-4c89-4455-80f6-7c3ef5d7fe2e"/>
    <ds:schemaRef ds:uri="7b1a6156-ca51-455f-8416-cbe36e2d08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CurrentPortfolio</vt:lpstr>
      <vt:lpstr>DisposedPortfolio</vt:lpstr>
      <vt:lpstr>Formerly Known As</vt:lpstr>
      <vt:lpstr>SameStore</vt:lpstr>
      <vt:lpstr>NAVs</vt:lpstr>
      <vt:lpstr>RPMAssignments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Mauldin</dc:creator>
  <cp:keywords/>
  <dc:description/>
  <cp:lastModifiedBy>PJ Hummelt</cp:lastModifiedBy>
  <dcterms:created xsi:type="dcterms:W3CDTF">2018-08-10T16:58:18Z</dcterms:created>
  <dcterms:modified xsi:type="dcterms:W3CDTF">2020-05-20T00:11:49Z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{A44787D4-0540-4523-9961-78E4036D8C6D}">
    <vt:lpwstr>{9EE04EA6-D7A4-4BCA-8D6C-927D2FDCAC6E}</vt:lpwstr>
  </property>
  <property fmtid="{D5CDD505-2E9C-101B-9397-08002B2CF9AE}" pid="4" name="ContentTypeId">
    <vt:lpwstr>0x0101007271E0C533B0CC4B8DA5ECAEDFE482CA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Order">
    <vt:r8>800</vt:r8>
  </property>
</Properties>
</file>